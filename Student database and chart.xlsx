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84E28695-5952-4083-8067-BC13D969E052}" xr6:coauthVersionLast="47" xr6:coauthVersionMax="47" xr10:uidLastSave="{00000000-0000-0000-0000-000000000000}"/>
  <bookViews>
    <workbookView xWindow="-108" yWindow="-108" windowWidth="23256" windowHeight="12456" activeTab="1" xr2:uid="{328151CA-156E-4D0B-B3B1-C5549141D562}"/>
  </bookViews>
  <sheets>
    <sheet name="Sheet2" sheetId="2" r:id="rId1"/>
    <sheet name="Sheet3" sheetId="3" r:id="rId2"/>
    <sheet name="Sheet1" sheetId="1" r:id="rId3"/>
  </sheets>
  <calcPr calcId="191029"/>
  <pivotCaches>
    <pivotCache cacheId="8" r:id="rId4"/>
    <pivotCache cacheId="1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2" i="1"/>
</calcChain>
</file>

<file path=xl/sharedStrings.xml><?xml version="1.0" encoding="utf-8"?>
<sst xmlns="http://schemas.openxmlformats.org/spreadsheetml/2006/main" count="467" uniqueCount="229">
  <si>
    <t>S.No</t>
  </si>
  <si>
    <t>Student ID</t>
  </si>
  <si>
    <t>Student Name</t>
  </si>
  <si>
    <t>Python</t>
  </si>
  <si>
    <t>C++</t>
  </si>
  <si>
    <t>Maths</t>
  </si>
  <si>
    <t>DS</t>
  </si>
  <si>
    <t>DBMS</t>
  </si>
  <si>
    <t>Total</t>
  </si>
  <si>
    <t>Average</t>
  </si>
  <si>
    <t>AI001</t>
  </si>
  <si>
    <t>Aarav</t>
  </si>
  <si>
    <t>AI002</t>
  </si>
  <si>
    <t>Abinaya</t>
  </si>
  <si>
    <t>AI003</t>
  </si>
  <si>
    <t>Adithya</t>
  </si>
  <si>
    <t>AI004</t>
  </si>
  <si>
    <t>Akash</t>
  </si>
  <si>
    <t>AI005</t>
  </si>
  <si>
    <t>Ananya</t>
  </si>
  <si>
    <t>AI006</t>
  </si>
  <si>
    <t>Arjun</t>
  </si>
  <si>
    <t>AI007</t>
  </si>
  <si>
    <t>Ashwin</t>
  </si>
  <si>
    <t>AI008</t>
  </si>
  <si>
    <t>Aishwarya</t>
  </si>
  <si>
    <t>AI009</t>
  </si>
  <si>
    <t>Bala</t>
  </si>
  <si>
    <t>AI010</t>
  </si>
  <si>
    <t>Bhavana</t>
  </si>
  <si>
    <t>AI011</t>
  </si>
  <si>
    <t>Charan</t>
  </si>
  <si>
    <t>AI012</t>
  </si>
  <si>
    <t>Deepak</t>
  </si>
  <si>
    <t>AI013</t>
  </si>
  <si>
    <t>Dharani</t>
  </si>
  <si>
    <t>AI014</t>
  </si>
  <si>
    <t>Dinesh</t>
  </si>
  <si>
    <t>AI015</t>
  </si>
  <si>
    <t>Divya</t>
  </si>
  <si>
    <t>AI016</t>
  </si>
  <si>
    <t>Ezhil</t>
  </si>
  <si>
    <t>AI017</t>
  </si>
  <si>
    <t>Farhan</t>
  </si>
  <si>
    <t>AI018</t>
  </si>
  <si>
    <t>Gayathri</t>
  </si>
  <si>
    <t>AI019</t>
  </si>
  <si>
    <t>Gokul</t>
  </si>
  <si>
    <t>AI020</t>
  </si>
  <si>
    <t>Harish</t>
  </si>
  <si>
    <t>AI021</t>
  </si>
  <si>
    <t>Harini</t>
  </si>
  <si>
    <t>AI022</t>
  </si>
  <si>
    <t>Hari</t>
  </si>
  <si>
    <t>AI023</t>
  </si>
  <si>
    <t>Hemanth</t>
  </si>
  <si>
    <t>AI024</t>
  </si>
  <si>
    <t>Ishwarya</t>
  </si>
  <si>
    <t>AI025</t>
  </si>
  <si>
    <t>Jai</t>
  </si>
  <si>
    <t>AI026</t>
  </si>
  <si>
    <t>Janani</t>
  </si>
  <si>
    <t>AI027</t>
  </si>
  <si>
    <t>Karthik</t>
  </si>
  <si>
    <t>AI028</t>
  </si>
  <si>
    <t>Kavya</t>
  </si>
  <si>
    <t>AI029</t>
  </si>
  <si>
    <t>Kishore</t>
  </si>
  <si>
    <t>AI030</t>
  </si>
  <si>
    <t>Lakshmi</t>
  </si>
  <si>
    <t>AI031</t>
  </si>
  <si>
    <t>Lokesh</t>
  </si>
  <si>
    <t>AI032</t>
  </si>
  <si>
    <t>Madhan</t>
  </si>
  <si>
    <t>AI033</t>
  </si>
  <si>
    <t>Mahalakshmi</t>
  </si>
  <si>
    <t>AI034</t>
  </si>
  <si>
    <t>Manikandan</t>
  </si>
  <si>
    <t>AI035</t>
  </si>
  <si>
    <t>Manoj</t>
  </si>
  <si>
    <t>AI036</t>
  </si>
  <si>
    <t>Meena</t>
  </si>
  <si>
    <t>AI037</t>
  </si>
  <si>
    <t>Mohamed</t>
  </si>
  <si>
    <t>AI038</t>
  </si>
  <si>
    <t>Monisha</t>
  </si>
  <si>
    <t>AI039</t>
  </si>
  <si>
    <t>Nandhini</t>
  </si>
  <si>
    <t>AI040</t>
  </si>
  <si>
    <t>Naveen</t>
  </si>
  <si>
    <t>AI041</t>
  </si>
  <si>
    <t>Nikhil</t>
  </si>
  <si>
    <t>AI042</t>
  </si>
  <si>
    <t>Pavithra</t>
  </si>
  <si>
    <t>AI043</t>
  </si>
  <si>
    <t>Pranav</t>
  </si>
  <si>
    <t>AI044</t>
  </si>
  <si>
    <t>Priya</t>
  </si>
  <si>
    <t>AI045</t>
  </si>
  <si>
    <t>Rahul</t>
  </si>
  <si>
    <t>AI046</t>
  </si>
  <si>
    <t>Rakesh</t>
  </si>
  <si>
    <t>AI047</t>
  </si>
  <si>
    <t>Ramya</t>
  </si>
  <si>
    <t>AI048</t>
  </si>
  <si>
    <t>Ranjith</t>
  </si>
  <si>
    <t>AI049</t>
  </si>
  <si>
    <t>Reshma</t>
  </si>
  <si>
    <t>AI050</t>
  </si>
  <si>
    <t>Rohit</t>
  </si>
  <si>
    <t>AI051</t>
  </si>
  <si>
    <t>Sachin</t>
  </si>
  <si>
    <t>AI052</t>
  </si>
  <si>
    <t>Sakthi</t>
  </si>
  <si>
    <t>AI053</t>
  </si>
  <si>
    <t>Sanjay</t>
  </si>
  <si>
    <t>AI054</t>
  </si>
  <si>
    <t>Santhosh</t>
  </si>
  <si>
    <t>AI055</t>
  </si>
  <si>
    <t>Saranya</t>
  </si>
  <si>
    <t>AI056</t>
  </si>
  <si>
    <t>Shalini</t>
  </si>
  <si>
    <t>AI057</t>
  </si>
  <si>
    <t>Shankar</t>
  </si>
  <si>
    <t>AI058</t>
  </si>
  <si>
    <t>Sharmila</t>
  </si>
  <si>
    <t>AI059</t>
  </si>
  <si>
    <t>Shiva</t>
  </si>
  <si>
    <t>AI060</t>
  </si>
  <si>
    <t>Shruthi</t>
  </si>
  <si>
    <t>AI061</t>
  </si>
  <si>
    <t>Siva</t>
  </si>
  <si>
    <t>AI062</t>
  </si>
  <si>
    <t>Sneha</t>
  </si>
  <si>
    <t>AI063</t>
  </si>
  <si>
    <t>Sriram</t>
  </si>
  <si>
    <t>AI064</t>
  </si>
  <si>
    <t>Surya</t>
  </si>
  <si>
    <t>AI065</t>
  </si>
  <si>
    <t>Swetha</t>
  </si>
  <si>
    <t>AI066</t>
  </si>
  <si>
    <t>Tamilselvan</t>
  </si>
  <si>
    <t>AI067</t>
  </si>
  <si>
    <t>Tharun</t>
  </si>
  <si>
    <t>AI068</t>
  </si>
  <si>
    <t>Udhaya</t>
  </si>
  <si>
    <t>AI069</t>
  </si>
  <si>
    <t>Vaishnavi</t>
  </si>
  <si>
    <t>AI070</t>
  </si>
  <si>
    <t>Varun</t>
  </si>
  <si>
    <t>AI071</t>
  </si>
  <si>
    <t>Vignesh</t>
  </si>
  <si>
    <t>AI072</t>
  </si>
  <si>
    <t>Vishal</t>
  </si>
  <si>
    <t>AI073</t>
  </si>
  <si>
    <t>Yamini</t>
  </si>
  <si>
    <t>AI074</t>
  </si>
  <si>
    <t>Yashwanth</t>
  </si>
  <si>
    <t>AI075</t>
  </si>
  <si>
    <t>Abhishek</t>
  </si>
  <si>
    <t>AI076</t>
  </si>
  <si>
    <t>Aarthi</t>
  </si>
  <si>
    <t>AI077</t>
  </si>
  <si>
    <t>Anirudh</t>
  </si>
  <si>
    <t>AI078</t>
  </si>
  <si>
    <t>Akshaya</t>
  </si>
  <si>
    <t>AI079</t>
  </si>
  <si>
    <t>Bharath</t>
  </si>
  <si>
    <t>AI080</t>
  </si>
  <si>
    <t>Chandru</t>
  </si>
  <si>
    <t>AI081</t>
  </si>
  <si>
    <t>Darshan</t>
  </si>
  <si>
    <t>AI082</t>
  </si>
  <si>
    <t>Dhanush</t>
  </si>
  <si>
    <t>AI083</t>
  </si>
  <si>
    <t>Gautham</t>
  </si>
  <si>
    <t>AI084</t>
  </si>
  <si>
    <t>Keerthana</t>
  </si>
  <si>
    <t>AI085</t>
  </si>
  <si>
    <t>Madhumitha</t>
  </si>
  <si>
    <t>AI086</t>
  </si>
  <si>
    <t>Nithin</t>
  </si>
  <si>
    <t>AI087</t>
  </si>
  <si>
    <t>Pavani</t>
  </si>
  <si>
    <t>AI088</t>
  </si>
  <si>
    <t>Pradeep</t>
  </si>
  <si>
    <t>AI089</t>
  </si>
  <si>
    <t>Rithika</t>
  </si>
  <si>
    <t>AI090</t>
  </si>
  <si>
    <t>Sanjana</t>
  </si>
  <si>
    <t>AI091</t>
  </si>
  <si>
    <t>Saran</t>
  </si>
  <si>
    <t>AI092</t>
  </si>
  <si>
    <t>Sowmya</t>
  </si>
  <si>
    <t>AI093</t>
  </si>
  <si>
    <t>Surendran</t>
  </si>
  <si>
    <t>AI094</t>
  </si>
  <si>
    <t>Varsha</t>
  </si>
  <si>
    <t>AI095</t>
  </si>
  <si>
    <t>Vikram</t>
  </si>
  <si>
    <t>AI096</t>
  </si>
  <si>
    <t>Abinav</t>
  </si>
  <si>
    <t>AI097</t>
  </si>
  <si>
    <t>Haritha</t>
  </si>
  <si>
    <t>AI098</t>
  </si>
  <si>
    <t>Kavin</t>
  </si>
  <si>
    <t>AI099</t>
  </si>
  <si>
    <t>Monish</t>
  </si>
  <si>
    <t>AI100</t>
  </si>
  <si>
    <t>Nivedha</t>
  </si>
  <si>
    <t>Department</t>
  </si>
  <si>
    <t>Year</t>
  </si>
  <si>
    <t>Section</t>
  </si>
  <si>
    <t>AI&amp;DS</t>
  </si>
  <si>
    <t>A</t>
  </si>
  <si>
    <t>CSE</t>
  </si>
  <si>
    <t>B</t>
  </si>
  <si>
    <t>IT</t>
  </si>
  <si>
    <t>ECE</t>
  </si>
  <si>
    <t>EEE</t>
  </si>
  <si>
    <t>Mechanical</t>
  </si>
  <si>
    <t>Sum of Total</t>
  </si>
  <si>
    <t>Row Labels</t>
  </si>
  <si>
    <t>Grand Total</t>
  </si>
  <si>
    <t>Sum of Python</t>
  </si>
  <si>
    <t>Sum of C++</t>
  </si>
  <si>
    <t>Sum of Maths</t>
  </si>
  <si>
    <t>Sum of DS</t>
  </si>
  <si>
    <t>Sum of DBMS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</si>
</sst>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Sheet3!$C$4:$C$10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Sheet3!$D$4:$D$10</c:f>
              <c:numCache>
                <c:formatCode>General</c:formatCode>
                <c:ptCount val="6"/>
                <c:pt idx="0">
                  <c:v>5959</c:v>
                </c:pt>
                <c:pt idx="1">
                  <c:v>7110</c:v>
                </c:pt>
                <c:pt idx="2">
                  <c:v>6628</c:v>
                </c:pt>
                <c:pt idx="3">
                  <c:v>7117</c:v>
                </c:pt>
                <c:pt idx="4">
                  <c:v>7029</c:v>
                </c:pt>
                <c:pt idx="5">
                  <c:v>8031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4-4C69-9686-E1E9B662CE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094096"/>
        <c:axId val="64358256"/>
      </c:barChart>
      <c:catAx>
        <c:axId val="81094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8256"/>
        <c:crosses val="autoZero"/>
        <c:auto val="1"/>
        <c:lblAlgn val="ctr"/>
        <c:lblOffset val="100"/>
        <c:noMultiLvlLbl val="0"/>
      </c:catAx>
      <c:valAx>
        <c:axId val="6435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4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chart.xlsx]Sheet3!PivotTable6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Sheet3!$C$4:$C$10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Sheet3!$D$4:$D$10</c:f>
              <c:numCache>
                <c:formatCode>General</c:formatCode>
                <c:ptCount val="6"/>
                <c:pt idx="0">
                  <c:v>5959</c:v>
                </c:pt>
                <c:pt idx="1">
                  <c:v>7110</c:v>
                </c:pt>
                <c:pt idx="2">
                  <c:v>6628</c:v>
                </c:pt>
                <c:pt idx="3">
                  <c:v>7117</c:v>
                </c:pt>
                <c:pt idx="4">
                  <c:v>7029</c:v>
                </c:pt>
                <c:pt idx="5">
                  <c:v>8031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A-4D2D-80DD-F15768ACB3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chart.xlsx]Sheet3!PivotTable6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Sheet3!$D$3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Sheet3!$C$4:$C$10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Sheet3!$D$4:$D$10</c:f>
              <c:numCache>
                <c:formatCode>General</c:formatCode>
                <c:ptCount val="6"/>
                <c:pt idx="0">
                  <c:v>5959</c:v>
                </c:pt>
                <c:pt idx="1">
                  <c:v>7110</c:v>
                </c:pt>
                <c:pt idx="2">
                  <c:v>6628</c:v>
                </c:pt>
                <c:pt idx="3">
                  <c:v>7117</c:v>
                </c:pt>
                <c:pt idx="4">
                  <c:v>7029</c:v>
                </c:pt>
                <c:pt idx="5">
                  <c:v>8031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E3-4271-9C2F-9267249E7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93168"/>
        <c:axId val="64323696"/>
        <c:axId val="0"/>
      </c:area3DChart>
      <c:catAx>
        <c:axId val="810931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3696"/>
        <c:crosses val="autoZero"/>
        <c:auto val="1"/>
        <c:lblAlgn val="ctr"/>
        <c:lblOffset val="100"/>
        <c:noMultiLvlLbl val="0"/>
      </c:catAx>
      <c:valAx>
        <c:axId val="64323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9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chart.xlsx]Sheet3!PivotTable6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Sheet3!$C$4:$C$10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Sheet3!$D$4:$D$10</c:f>
              <c:numCache>
                <c:formatCode>General</c:formatCode>
                <c:ptCount val="6"/>
                <c:pt idx="0">
                  <c:v>5959</c:v>
                </c:pt>
                <c:pt idx="1">
                  <c:v>7110</c:v>
                </c:pt>
                <c:pt idx="2">
                  <c:v>6628</c:v>
                </c:pt>
                <c:pt idx="3">
                  <c:v>7117</c:v>
                </c:pt>
                <c:pt idx="4">
                  <c:v>7029</c:v>
                </c:pt>
                <c:pt idx="5">
                  <c:v>8031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E-4DC3-BFC5-9CE35C184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3579760"/>
        <c:axId val="64339056"/>
        <c:axId val="0"/>
      </c:bar3DChart>
      <c:catAx>
        <c:axId val="63579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39056"/>
        <c:crosses val="autoZero"/>
        <c:auto val="1"/>
        <c:lblAlgn val="ctr"/>
        <c:lblOffset val="100"/>
        <c:noMultiLvlLbl val="0"/>
      </c:catAx>
      <c:valAx>
        <c:axId val="64339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9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chart.xlsx]Sheet3!PivotTable7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Sheet3!$T$3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Sheet3!$S$4:$S$10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Sheet3!$T$4:$T$10</c:f>
              <c:numCache>
                <c:formatCode>General</c:formatCode>
                <c:ptCount val="6"/>
                <c:pt idx="0">
                  <c:v>1168</c:v>
                </c:pt>
                <c:pt idx="1">
                  <c:v>1416</c:v>
                </c:pt>
                <c:pt idx="2">
                  <c:v>1307</c:v>
                </c:pt>
                <c:pt idx="3">
                  <c:v>1412</c:v>
                </c:pt>
                <c:pt idx="4">
                  <c:v>1388</c:v>
                </c:pt>
                <c:pt idx="5">
                  <c:v>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1C-4900-A73A-0E0C4E1A93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3576048"/>
        <c:axId val="64239216"/>
      </c:barChart>
      <c:catAx>
        <c:axId val="6357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39216"/>
        <c:crosses val="autoZero"/>
        <c:auto val="1"/>
        <c:lblAlgn val="ctr"/>
        <c:lblOffset val="100"/>
        <c:noMultiLvlLbl val="0"/>
      </c:catAx>
      <c:valAx>
        <c:axId val="64239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357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chart.xlsx]Sheet3!PivotTable7</c:name>
    <c:fmtId val="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Sheet3!$T$3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Sheet3!$S$4:$S$10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Sheet3!$T$4:$T$10</c:f>
              <c:numCache>
                <c:formatCode>General</c:formatCode>
                <c:ptCount val="6"/>
                <c:pt idx="0">
                  <c:v>1168</c:v>
                </c:pt>
                <c:pt idx="1">
                  <c:v>1416</c:v>
                </c:pt>
                <c:pt idx="2">
                  <c:v>1307</c:v>
                </c:pt>
                <c:pt idx="3">
                  <c:v>1412</c:v>
                </c:pt>
                <c:pt idx="4">
                  <c:v>1388</c:v>
                </c:pt>
                <c:pt idx="5">
                  <c:v>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95-4C38-861C-72C8D7A1BF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chart.xlsx]Sheet3!PivotTable7</c:name>
    <c:fmtId val="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Sheet3!$T$3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Sheet3!$S$4:$S$10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Sheet3!$T$4:$T$10</c:f>
              <c:numCache>
                <c:formatCode>General</c:formatCode>
                <c:ptCount val="6"/>
                <c:pt idx="0">
                  <c:v>1168</c:v>
                </c:pt>
                <c:pt idx="1">
                  <c:v>1416</c:v>
                </c:pt>
                <c:pt idx="2">
                  <c:v>1307</c:v>
                </c:pt>
                <c:pt idx="3">
                  <c:v>1412</c:v>
                </c:pt>
                <c:pt idx="4">
                  <c:v>1388</c:v>
                </c:pt>
                <c:pt idx="5">
                  <c:v>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2F-4632-89F8-F283F744CB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490416"/>
        <c:axId val="64283376"/>
        <c:axId val="0"/>
      </c:area3DChart>
      <c:catAx>
        <c:axId val="74490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3376"/>
        <c:crosses val="autoZero"/>
        <c:auto val="1"/>
        <c:lblAlgn val="ctr"/>
        <c:lblOffset val="100"/>
        <c:noMultiLvlLbl val="0"/>
      </c:catAx>
      <c:valAx>
        <c:axId val="642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904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chart.xlsx]Sheet3!PivotTable7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Sheet3!$T$3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Sheet3!$S$4:$S$10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Sheet3!$T$4:$T$10</c:f>
              <c:numCache>
                <c:formatCode>General</c:formatCode>
                <c:ptCount val="6"/>
                <c:pt idx="0">
                  <c:v>1168</c:v>
                </c:pt>
                <c:pt idx="1">
                  <c:v>1416</c:v>
                </c:pt>
                <c:pt idx="2">
                  <c:v>1307</c:v>
                </c:pt>
                <c:pt idx="3">
                  <c:v>1412</c:v>
                </c:pt>
                <c:pt idx="4">
                  <c:v>1388</c:v>
                </c:pt>
                <c:pt idx="5">
                  <c:v>1582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9A-4EAD-8B34-CD5F092C6E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112453968"/>
        <c:axId val="64298736"/>
        <c:axId val="0"/>
      </c:bar3DChart>
      <c:catAx>
        <c:axId val="21124539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98736"/>
        <c:crosses val="autoZero"/>
        <c:auto val="1"/>
        <c:lblAlgn val="ctr"/>
        <c:lblOffset val="100"/>
        <c:noMultiLvlLbl val="0"/>
      </c:catAx>
      <c:valAx>
        <c:axId val="64298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245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chart.xlsx]Sheet3!PivotTable8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Sheet3!$AF$3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Sheet3!$AE$4:$AE$10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Sheet3!$AF$4:$AF$10</c:f>
              <c:numCache>
                <c:formatCode>General</c:formatCode>
                <c:ptCount val="6"/>
                <c:pt idx="0">
                  <c:v>1182</c:v>
                </c:pt>
                <c:pt idx="1">
                  <c:v>1405</c:v>
                </c:pt>
                <c:pt idx="2">
                  <c:v>1319</c:v>
                </c:pt>
                <c:pt idx="3">
                  <c:v>1411</c:v>
                </c:pt>
                <c:pt idx="4">
                  <c:v>1411</c:v>
                </c:pt>
                <c:pt idx="5">
                  <c:v>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5C6-491B-B23A-70FB14093E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104304"/>
        <c:axId val="64338576"/>
        <c:axId val="0"/>
      </c:bar3DChart>
      <c:catAx>
        <c:axId val="8110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38576"/>
        <c:crosses val="autoZero"/>
        <c:auto val="1"/>
        <c:lblAlgn val="ctr"/>
        <c:lblOffset val="100"/>
        <c:noMultiLvlLbl val="0"/>
      </c:catAx>
      <c:valAx>
        <c:axId val="64338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10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chart.xlsx]Sheet3!PivotTable8</c:name>
    <c:fmtId val="1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Sheet3!$AF$3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Sheet3!$AE$4:$AE$10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Sheet3!$AF$4:$AF$10</c:f>
              <c:numCache>
                <c:formatCode>General</c:formatCode>
                <c:ptCount val="6"/>
                <c:pt idx="0">
                  <c:v>1182</c:v>
                </c:pt>
                <c:pt idx="1">
                  <c:v>1405</c:v>
                </c:pt>
                <c:pt idx="2">
                  <c:v>1319</c:v>
                </c:pt>
                <c:pt idx="3">
                  <c:v>1411</c:v>
                </c:pt>
                <c:pt idx="4">
                  <c:v>1411</c:v>
                </c:pt>
                <c:pt idx="5">
                  <c:v>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FE-4E42-8C5B-63D9B7358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chart.xlsx]Sheet3!PivotTable8</c:name>
    <c:fmtId val="1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Sheet3!$AF$3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Sheet3!$AE$4:$AE$10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Sheet3!$AF$4:$AF$10</c:f>
              <c:numCache>
                <c:formatCode>General</c:formatCode>
                <c:ptCount val="6"/>
                <c:pt idx="0">
                  <c:v>1182</c:v>
                </c:pt>
                <c:pt idx="1">
                  <c:v>1405</c:v>
                </c:pt>
                <c:pt idx="2">
                  <c:v>1319</c:v>
                </c:pt>
                <c:pt idx="3">
                  <c:v>1411</c:v>
                </c:pt>
                <c:pt idx="4">
                  <c:v>1411</c:v>
                </c:pt>
                <c:pt idx="5">
                  <c:v>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6A-4268-B86A-139785AEB6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946320"/>
        <c:axId val="64243056"/>
        <c:axId val="2001057328"/>
      </c:area3DChart>
      <c:catAx>
        <c:axId val="12594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3056"/>
        <c:crosses val="autoZero"/>
        <c:auto val="1"/>
        <c:lblAlgn val="ctr"/>
        <c:lblOffset val="100"/>
        <c:noMultiLvlLbl val="0"/>
      </c:catAx>
      <c:valAx>
        <c:axId val="6424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46320"/>
        <c:crosses val="autoZero"/>
        <c:crossBetween val="midCat"/>
      </c:valAx>
      <c:serAx>
        <c:axId val="200105732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4305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chart.xlsx]Sheet3!PivotTable8</c:name>
    <c:fmtId val="1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Sheet3!$AF$3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Sheet3!$AE$4:$AE$10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Sheet3!$AF$4:$AF$10</c:f>
              <c:numCache>
                <c:formatCode>General</c:formatCode>
                <c:ptCount val="6"/>
                <c:pt idx="0">
                  <c:v>1182</c:v>
                </c:pt>
                <c:pt idx="1">
                  <c:v>1405</c:v>
                </c:pt>
                <c:pt idx="2">
                  <c:v>1319</c:v>
                </c:pt>
                <c:pt idx="3">
                  <c:v>1411</c:v>
                </c:pt>
                <c:pt idx="4">
                  <c:v>1411</c:v>
                </c:pt>
                <c:pt idx="5">
                  <c:v>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FD-4514-BD28-CF0DC97207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970448"/>
        <c:axId val="64262736"/>
        <c:axId val="0"/>
      </c:bar3DChart>
      <c:catAx>
        <c:axId val="12597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62736"/>
        <c:crosses val="autoZero"/>
        <c:auto val="1"/>
        <c:lblAlgn val="ctr"/>
        <c:lblOffset val="100"/>
        <c:noMultiLvlLbl val="0"/>
      </c:catAx>
      <c:valAx>
        <c:axId val="6426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7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chart.xlsx]Sheet3!PivotTable9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Sheet3!$AS$3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Sheet3!$AR$4:$AR$10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Sheet3!$AS$4:$AS$10</c:f>
              <c:numCache>
                <c:formatCode>General</c:formatCode>
                <c:ptCount val="6"/>
                <c:pt idx="0">
                  <c:v>1199</c:v>
                </c:pt>
                <c:pt idx="1">
                  <c:v>1435</c:v>
                </c:pt>
                <c:pt idx="2">
                  <c:v>1335</c:v>
                </c:pt>
                <c:pt idx="3">
                  <c:v>1415</c:v>
                </c:pt>
                <c:pt idx="4">
                  <c:v>1400</c:v>
                </c:pt>
                <c:pt idx="5">
                  <c:v>1606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6B-4F1A-886B-1CA72128E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491344"/>
        <c:axId val="64325136"/>
        <c:axId val="0"/>
      </c:bar3DChart>
      <c:catAx>
        <c:axId val="7449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25136"/>
        <c:crosses val="autoZero"/>
        <c:auto val="1"/>
        <c:lblAlgn val="ctr"/>
        <c:lblOffset val="100"/>
        <c:noMultiLvlLbl val="0"/>
      </c:catAx>
      <c:valAx>
        <c:axId val="6432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49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chart.xlsx]Sheet3!PivotTable9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Sheet3!$AS$3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Sheet3!$AR$4:$AR$10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Sheet3!$AS$4:$AS$10</c:f>
              <c:numCache>
                <c:formatCode>General</c:formatCode>
                <c:ptCount val="6"/>
                <c:pt idx="0">
                  <c:v>1199</c:v>
                </c:pt>
                <c:pt idx="1">
                  <c:v>1435</c:v>
                </c:pt>
                <c:pt idx="2">
                  <c:v>1335</c:v>
                </c:pt>
                <c:pt idx="3">
                  <c:v>1415</c:v>
                </c:pt>
                <c:pt idx="4">
                  <c:v>1400</c:v>
                </c:pt>
                <c:pt idx="5">
                  <c:v>1606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25-4DAA-B08B-F28AB7858E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chart.xlsx]Sheet3!PivotTable9</c:name>
    <c:fmtId val="1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cked"/>
        <c:varyColors val="0"/>
        <c:ser>
          <c:idx val="0"/>
          <c:order val="0"/>
          <c:tx>
            <c:strRef>
              <c:f>Sheet3!$AS$3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Sheet3!$AR$4:$AR$10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Sheet3!$AS$4:$AS$10</c:f>
              <c:numCache>
                <c:formatCode>General</c:formatCode>
                <c:ptCount val="6"/>
                <c:pt idx="0">
                  <c:v>1199</c:v>
                </c:pt>
                <c:pt idx="1">
                  <c:v>1435</c:v>
                </c:pt>
                <c:pt idx="2">
                  <c:v>1335</c:v>
                </c:pt>
                <c:pt idx="3">
                  <c:v>1415</c:v>
                </c:pt>
                <c:pt idx="4">
                  <c:v>1400</c:v>
                </c:pt>
                <c:pt idx="5">
                  <c:v>1606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90-4520-A62F-3DC80EA94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621680"/>
        <c:axId val="64357296"/>
        <c:axId val="0"/>
      </c:area3DChart>
      <c:catAx>
        <c:axId val="1296216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57296"/>
        <c:crosses val="autoZero"/>
        <c:auto val="1"/>
        <c:lblAlgn val="ctr"/>
        <c:lblOffset val="100"/>
        <c:noMultiLvlLbl val="0"/>
      </c:catAx>
      <c:valAx>
        <c:axId val="64357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21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chart.xlsx]Sheet3!PivotTable9</c:name>
    <c:fmtId val="16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Sheet3!$AS$3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Sheet3!$AR$4:$AR$10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Sheet3!$AS$4:$AS$10</c:f>
              <c:numCache>
                <c:formatCode>General</c:formatCode>
                <c:ptCount val="6"/>
                <c:pt idx="0">
                  <c:v>1199</c:v>
                </c:pt>
                <c:pt idx="1">
                  <c:v>1435</c:v>
                </c:pt>
                <c:pt idx="2">
                  <c:v>1335</c:v>
                </c:pt>
                <c:pt idx="3">
                  <c:v>1415</c:v>
                </c:pt>
                <c:pt idx="4">
                  <c:v>1400</c:v>
                </c:pt>
                <c:pt idx="5">
                  <c:v>1606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3F-4DC1-9BF1-7F322F67BA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9622608"/>
        <c:axId val="64250256"/>
        <c:axId val="0"/>
      </c:bar3DChart>
      <c:catAx>
        <c:axId val="1296226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50256"/>
        <c:crosses val="autoZero"/>
        <c:auto val="1"/>
        <c:lblAlgn val="ctr"/>
        <c:lblOffset val="100"/>
        <c:noMultiLvlLbl val="0"/>
      </c:catAx>
      <c:valAx>
        <c:axId val="64250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622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chart.xlsx]Sheet3!PivotTable10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Sheet3!$BC$4:$BC$10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Sheet3!$BD$4:$BD$10</c:f>
              <c:numCache>
                <c:formatCode>General</c:formatCode>
                <c:ptCount val="6"/>
                <c:pt idx="0">
                  <c:v>1186</c:v>
                </c:pt>
                <c:pt idx="1">
                  <c:v>1433</c:v>
                </c:pt>
                <c:pt idx="2">
                  <c:v>1332</c:v>
                </c:pt>
                <c:pt idx="3">
                  <c:v>1435</c:v>
                </c:pt>
                <c:pt idx="4">
                  <c:v>1399</c:v>
                </c:pt>
                <c:pt idx="5">
                  <c:v>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10-4F51-BE24-A382206433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486128"/>
        <c:axId val="64288176"/>
        <c:axId val="0"/>
      </c:bar3DChart>
      <c:catAx>
        <c:axId val="132486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8176"/>
        <c:crosses val="autoZero"/>
        <c:auto val="1"/>
        <c:lblAlgn val="ctr"/>
        <c:lblOffset val="100"/>
        <c:noMultiLvlLbl val="0"/>
      </c:catAx>
      <c:valAx>
        <c:axId val="64288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8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chart.xlsx]Sheet3!PivotTable10</c:name>
    <c:fmtId val="1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Sheet3!$BD$3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Sheet3!$BC$4:$BC$10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Sheet3!$BD$4:$BD$10</c:f>
              <c:numCache>
                <c:formatCode>General</c:formatCode>
                <c:ptCount val="6"/>
                <c:pt idx="0">
                  <c:v>1186</c:v>
                </c:pt>
                <c:pt idx="1">
                  <c:v>1433</c:v>
                </c:pt>
                <c:pt idx="2">
                  <c:v>1332</c:v>
                </c:pt>
                <c:pt idx="3">
                  <c:v>1435</c:v>
                </c:pt>
                <c:pt idx="4">
                  <c:v>1399</c:v>
                </c:pt>
                <c:pt idx="5">
                  <c:v>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11-4116-8B5D-0A25E17394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chart.xlsx]Sheet3!PivotTable10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Sheet3!$BD$3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Sheet3!$BC$4:$BC$10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Sheet3!$BD$4:$BD$10</c:f>
              <c:numCache>
                <c:formatCode>General</c:formatCode>
                <c:ptCount val="6"/>
                <c:pt idx="0">
                  <c:v>1186</c:v>
                </c:pt>
                <c:pt idx="1">
                  <c:v>1433</c:v>
                </c:pt>
                <c:pt idx="2">
                  <c:v>1332</c:v>
                </c:pt>
                <c:pt idx="3">
                  <c:v>1435</c:v>
                </c:pt>
                <c:pt idx="4">
                  <c:v>1399</c:v>
                </c:pt>
                <c:pt idx="5">
                  <c:v>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2C-49B8-B4B6-D3A2408CDA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518608"/>
        <c:axId val="64344336"/>
        <c:axId val="2000647552"/>
      </c:area3DChart>
      <c:catAx>
        <c:axId val="1325186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4336"/>
        <c:crosses val="autoZero"/>
        <c:auto val="1"/>
        <c:lblAlgn val="ctr"/>
        <c:lblOffset val="100"/>
        <c:noMultiLvlLbl val="0"/>
      </c:catAx>
      <c:valAx>
        <c:axId val="64344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18608"/>
        <c:crosses val="autoZero"/>
        <c:crossBetween val="midCat"/>
      </c:valAx>
      <c:serAx>
        <c:axId val="200064755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433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chart.xlsx]Sheet3!PivotTable10</c:name>
    <c:fmtId val="2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Sheet3!$BD$3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Sheet3!$BC$4:$BC$10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Sheet3!$BD$4:$BD$10</c:f>
              <c:numCache>
                <c:formatCode>General</c:formatCode>
                <c:ptCount val="6"/>
                <c:pt idx="0">
                  <c:v>1186</c:v>
                </c:pt>
                <c:pt idx="1">
                  <c:v>1433</c:v>
                </c:pt>
                <c:pt idx="2">
                  <c:v>1332</c:v>
                </c:pt>
                <c:pt idx="3">
                  <c:v>1435</c:v>
                </c:pt>
                <c:pt idx="4">
                  <c:v>1399</c:v>
                </c:pt>
                <c:pt idx="5">
                  <c:v>1611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3D-4CC0-A2FC-2E27A597B5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2503296"/>
        <c:axId val="64345296"/>
        <c:axId val="0"/>
      </c:bar3DChart>
      <c:catAx>
        <c:axId val="132503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45296"/>
        <c:crosses val="autoZero"/>
        <c:auto val="1"/>
        <c:lblAlgn val="ctr"/>
        <c:lblOffset val="100"/>
        <c:noMultiLvlLbl val="0"/>
      </c:catAx>
      <c:valAx>
        <c:axId val="643452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0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chart.xlsx]Sheet3!PivotTable11</c:name>
    <c:fmtId val="2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Sheet3!$BO$3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Sheet3!$BN$4:$BN$10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Sheet3!$BO$4:$BO$10</c:f>
              <c:numCache>
                <c:formatCode>General</c:formatCode>
                <c:ptCount val="6"/>
                <c:pt idx="0">
                  <c:v>1224</c:v>
                </c:pt>
                <c:pt idx="1">
                  <c:v>1421</c:v>
                </c:pt>
                <c:pt idx="2">
                  <c:v>1335</c:v>
                </c:pt>
                <c:pt idx="3">
                  <c:v>1444</c:v>
                </c:pt>
                <c:pt idx="4">
                  <c:v>1431</c:v>
                </c:pt>
                <c:pt idx="5">
                  <c:v>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1-40BB-B3B8-0994387AD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951888"/>
        <c:axId val="64256016"/>
        <c:axId val="0"/>
      </c:bar3DChart>
      <c:catAx>
        <c:axId val="125951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56016"/>
        <c:crosses val="autoZero"/>
        <c:auto val="1"/>
        <c:lblAlgn val="ctr"/>
        <c:lblOffset val="100"/>
        <c:noMultiLvlLbl val="0"/>
      </c:catAx>
      <c:valAx>
        <c:axId val="64256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51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chart.xlsx]Sheet3!PivotTable11</c:name>
    <c:fmtId val="2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Sheet3!$BO$3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Sheet3!$BN$4:$BN$10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Sheet3!$BO$4:$BO$10</c:f>
              <c:numCache>
                <c:formatCode>General</c:formatCode>
                <c:ptCount val="6"/>
                <c:pt idx="0">
                  <c:v>1224</c:v>
                </c:pt>
                <c:pt idx="1">
                  <c:v>1421</c:v>
                </c:pt>
                <c:pt idx="2">
                  <c:v>1335</c:v>
                </c:pt>
                <c:pt idx="3">
                  <c:v>1444</c:v>
                </c:pt>
                <c:pt idx="4">
                  <c:v>1431</c:v>
                </c:pt>
                <c:pt idx="5">
                  <c:v>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A7-4AA1-BED4-24A46FB94D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chart.xlsx]Sheet3!PivotTable11</c:name>
    <c:fmtId val="2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Sheet3!$BO$3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Sheet3!$BN$4:$BN$10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Sheet3!$BO$4:$BO$10</c:f>
              <c:numCache>
                <c:formatCode>General</c:formatCode>
                <c:ptCount val="6"/>
                <c:pt idx="0">
                  <c:v>1224</c:v>
                </c:pt>
                <c:pt idx="1">
                  <c:v>1421</c:v>
                </c:pt>
                <c:pt idx="2">
                  <c:v>1335</c:v>
                </c:pt>
                <c:pt idx="3">
                  <c:v>1444</c:v>
                </c:pt>
                <c:pt idx="4">
                  <c:v>1431</c:v>
                </c:pt>
                <c:pt idx="5">
                  <c:v>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05-4755-BCDC-D4175E03EA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069040"/>
        <c:axId val="64284816"/>
        <c:axId val="68582768"/>
      </c:area3DChart>
      <c:catAx>
        <c:axId val="8106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4816"/>
        <c:crosses val="autoZero"/>
        <c:auto val="1"/>
        <c:lblAlgn val="ctr"/>
        <c:lblOffset val="100"/>
        <c:noMultiLvlLbl val="0"/>
      </c:catAx>
      <c:valAx>
        <c:axId val="64284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069040"/>
        <c:crosses val="autoZero"/>
        <c:crossBetween val="midCat"/>
      </c:valAx>
      <c:serAx>
        <c:axId val="68582768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284816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 database and chart.xlsx]Sheet3!PivotTable11</c:name>
    <c:fmtId val="2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Sheet3!$BO$3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Sheet3!$BN$4:$BN$10</c:f>
              <c:strCache>
                <c:ptCount val="6"/>
                <c:pt idx="0">
                  <c:v>AI&amp;DS</c:v>
                </c:pt>
                <c:pt idx="1">
                  <c:v>CSE</c:v>
                </c:pt>
                <c:pt idx="2">
                  <c:v>ECE</c:v>
                </c:pt>
                <c:pt idx="3">
                  <c:v>EEE</c:v>
                </c:pt>
                <c:pt idx="4">
                  <c:v>IT</c:v>
                </c:pt>
                <c:pt idx="5">
                  <c:v>Mechanical</c:v>
                </c:pt>
              </c:strCache>
            </c:strRef>
          </c:cat>
          <c:val>
            <c:numRef>
              <c:f>Sheet3!$BO$4:$BO$10</c:f>
              <c:numCache>
                <c:formatCode>General</c:formatCode>
                <c:ptCount val="6"/>
                <c:pt idx="0">
                  <c:v>1224</c:v>
                </c:pt>
                <c:pt idx="1">
                  <c:v>1421</c:v>
                </c:pt>
                <c:pt idx="2">
                  <c:v>1335</c:v>
                </c:pt>
                <c:pt idx="3">
                  <c:v>1444</c:v>
                </c:pt>
                <c:pt idx="4">
                  <c:v>1431</c:v>
                </c:pt>
                <c:pt idx="5">
                  <c:v>1630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AC-4591-BB6F-8B38209FD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176176"/>
        <c:axId val="64318416"/>
        <c:axId val="0"/>
      </c:bar3DChart>
      <c:catAx>
        <c:axId val="54176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318416"/>
        <c:crosses val="autoZero"/>
        <c:auto val="1"/>
        <c:lblAlgn val="ctr"/>
        <c:lblOffset val="100"/>
        <c:noMultiLvlLbl val="0"/>
      </c:catAx>
      <c:valAx>
        <c:axId val="64318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17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</xdr:row>
      <xdr:rowOff>9180</xdr:rowOff>
    </xdr:from>
    <xdr:to>
      <xdr:col>5</xdr:col>
      <xdr:colOff>486579</xdr:colOff>
      <xdr:row>22</xdr:row>
      <xdr:rowOff>10006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D2DEEC-7E53-E81E-8A90-771A33D9FF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9179</xdr:colOff>
      <xdr:row>10</xdr:row>
      <xdr:rowOff>183612</xdr:rowOff>
    </xdr:from>
    <xdr:to>
      <xdr:col>12</xdr:col>
      <xdr:colOff>321324</xdr:colOff>
      <xdr:row>22</xdr:row>
      <xdr:rowOff>31749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6197096-B7BE-1061-7EA6-8A8CB35B6C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23</xdr:row>
      <xdr:rowOff>5508</xdr:rowOff>
    </xdr:from>
    <xdr:to>
      <xdr:col>5</xdr:col>
      <xdr:colOff>459037</xdr:colOff>
      <xdr:row>36</xdr:row>
      <xdr:rowOff>9181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54677D1-2D23-7A8D-6EF3-87978E2A4D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22</xdr:row>
      <xdr:rowOff>180432</xdr:rowOff>
    </xdr:from>
    <xdr:to>
      <xdr:col>12</xdr:col>
      <xdr:colOff>317500</xdr:colOff>
      <xdr:row>36</xdr:row>
      <xdr:rowOff>16564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0A4418-41D5-2D7A-3786-F170E7C43B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16565</xdr:colOff>
      <xdr:row>11</xdr:row>
      <xdr:rowOff>16565</xdr:rowOff>
    </xdr:from>
    <xdr:to>
      <xdr:col>19</xdr:col>
      <xdr:colOff>33131</xdr:colOff>
      <xdr:row>23</xdr:row>
      <xdr:rowOff>16566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E60FC3-75EE-4E8A-A0A7-1F29A2DBD0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480392</xdr:colOff>
      <xdr:row>11</xdr:row>
      <xdr:rowOff>11596</xdr:rowOff>
    </xdr:from>
    <xdr:to>
      <xdr:col>24</xdr:col>
      <xdr:colOff>0</xdr:colOff>
      <xdr:row>23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951ED886-C5C5-982B-8291-2C295EEB4D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0</xdr:colOff>
      <xdr:row>24</xdr:row>
      <xdr:rowOff>11596</xdr:rowOff>
    </xdr:from>
    <xdr:to>
      <xdr:col>19</xdr:col>
      <xdr:colOff>82827</xdr:colOff>
      <xdr:row>36</xdr:row>
      <xdr:rowOff>16565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FB705CA9-A786-8760-CF59-AAFDE4DF9E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19</xdr:col>
      <xdr:colOff>463827</xdr:colOff>
      <xdr:row>23</xdr:row>
      <xdr:rowOff>144117</xdr:rowOff>
    </xdr:from>
    <xdr:to>
      <xdr:col>23</xdr:col>
      <xdr:colOff>596348</xdr:colOff>
      <xdr:row>36</xdr:row>
      <xdr:rowOff>16565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7FFC68-AFE1-38E8-5F03-9E68E93F2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26</xdr:col>
      <xdr:colOff>0</xdr:colOff>
      <xdr:row>11</xdr:row>
      <xdr:rowOff>16566</xdr:rowOff>
    </xdr:from>
    <xdr:to>
      <xdr:col>30</xdr:col>
      <xdr:colOff>844826</xdr:colOff>
      <xdr:row>23</xdr:row>
      <xdr:rowOff>-1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422304AC-5D83-046B-8500-1E9288B412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30</xdr:col>
      <xdr:colOff>1308653</xdr:colOff>
      <xdr:row>11</xdr:row>
      <xdr:rowOff>11596</xdr:rowOff>
    </xdr:from>
    <xdr:to>
      <xdr:col>36</xdr:col>
      <xdr:colOff>33131</xdr:colOff>
      <xdr:row>23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7F9A11B-7C88-338C-706A-5AEE5433234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26</xdr:col>
      <xdr:colOff>1</xdr:colOff>
      <xdr:row>24</xdr:row>
      <xdr:rowOff>0</xdr:rowOff>
    </xdr:from>
    <xdr:to>
      <xdr:col>30</xdr:col>
      <xdr:colOff>861392</xdr:colOff>
      <xdr:row>35</xdr:row>
      <xdr:rowOff>165653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90C14FB4-1D61-FDD0-A7F2-9F2BCD5186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30</xdr:col>
      <xdr:colOff>1325218</xdr:colOff>
      <xdr:row>24</xdr:row>
      <xdr:rowOff>16566</xdr:rowOff>
    </xdr:from>
    <xdr:to>
      <xdr:col>36</xdr:col>
      <xdr:colOff>33131</xdr:colOff>
      <xdr:row>36</xdr:row>
      <xdr:rowOff>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CF0C0E9-D44B-09C2-0EA0-5AE7D7E21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38</xdr:col>
      <xdr:colOff>337278</xdr:colOff>
      <xdr:row>10</xdr:row>
      <xdr:rowOff>177384</xdr:rowOff>
    </xdr:from>
    <xdr:to>
      <xdr:col>43</xdr:col>
      <xdr:colOff>905655</xdr:colOff>
      <xdr:row>23</xdr:row>
      <xdr:rowOff>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9DFAB721-F3D3-519C-A266-E30E3F35C2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44</xdr:col>
      <xdr:colOff>243591</xdr:colOff>
      <xdr:row>10</xdr:row>
      <xdr:rowOff>177383</xdr:rowOff>
    </xdr:from>
    <xdr:to>
      <xdr:col>47</xdr:col>
      <xdr:colOff>299804</xdr:colOff>
      <xdr:row>23</xdr:row>
      <xdr:rowOff>12492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FB2DDE3-3B6B-871C-F5BE-A58EEF9864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38</xdr:col>
      <xdr:colOff>306050</xdr:colOff>
      <xdr:row>24</xdr:row>
      <xdr:rowOff>2498</xdr:rowOff>
    </xdr:from>
    <xdr:to>
      <xdr:col>43</xdr:col>
      <xdr:colOff>886918</xdr:colOff>
      <xdr:row>36</xdr:row>
      <xdr:rowOff>12492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6E2F448F-D14A-B119-A477-7BCF70F3CD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44</xdr:col>
      <xdr:colOff>243591</xdr:colOff>
      <xdr:row>24</xdr:row>
      <xdr:rowOff>2498</xdr:rowOff>
    </xdr:from>
    <xdr:to>
      <xdr:col>47</xdr:col>
      <xdr:colOff>324787</xdr:colOff>
      <xdr:row>36</xdr:row>
      <xdr:rowOff>12492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8DD4F27-3A1F-EB7D-B921-62C82F0998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50</xdr:col>
      <xdr:colOff>291353</xdr:colOff>
      <xdr:row>10</xdr:row>
      <xdr:rowOff>174811</xdr:rowOff>
    </xdr:from>
    <xdr:to>
      <xdr:col>54</xdr:col>
      <xdr:colOff>750793</xdr:colOff>
      <xdr:row>22</xdr:row>
      <xdr:rowOff>168088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DEFC1BE-E154-F355-CF51-DDC499E802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55</xdr:col>
      <xdr:colOff>0</xdr:colOff>
      <xdr:row>11</xdr:row>
      <xdr:rowOff>6723</xdr:rowOff>
    </xdr:from>
    <xdr:to>
      <xdr:col>59</xdr:col>
      <xdr:colOff>324971</xdr:colOff>
      <xdr:row>23</xdr:row>
      <xdr:rowOff>11206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DF1C464F-6D67-9236-5D31-0C017D9046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50</xdr:col>
      <xdr:colOff>291353</xdr:colOff>
      <xdr:row>24</xdr:row>
      <xdr:rowOff>6723</xdr:rowOff>
    </xdr:from>
    <xdr:to>
      <xdr:col>54</xdr:col>
      <xdr:colOff>728382</xdr:colOff>
      <xdr:row>36</xdr:row>
      <xdr:rowOff>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6EBD519B-2D37-2823-E13F-79059E29D8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54</xdr:col>
      <xdr:colOff>974912</xdr:colOff>
      <xdr:row>23</xdr:row>
      <xdr:rowOff>174811</xdr:rowOff>
    </xdr:from>
    <xdr:to>
      <xdr:col>59</xdr:col>
      <xdr:colOff>324971</xdr:colOff>
      <xdr:row>35</xdr:row>
      <xdr:rowOff>168088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A3C5D2C-474D-A8CC-3075-2CFF3964FE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62</xdr:col>
      <xdr:colOff>14376</xdr:colOff>
      <xdr:row>10</xdr:row>
      <xdr:rowOff>173966</xdr:rowOff>
    </xdr:from>
    <xdr:to>
      <xdr:col>65</xdr:col>
      <xdr:colOff>1128622</xdr:colOff>
      <xdr:row>23</xdr:row>
      <xdr:rowOff>14378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67F5078B-5A36-56C7-C9DB-D72179B90A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66</xdr:col>
      <xdr:colOff>280359</xdr:colOff>
      <xdr:row>10</xdr:row>
      <xdr:rowOff>159589</xdr:rowOff>
    </xdr:from>
    <xdr:to>
      <xdr:col>69</xdr:col>
      <xdr:colOff>301925</xdr:colOff>
      <xdr:row>23</xdr:row>
      <xdr:rowOff>43132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738346A9-CEB4-D9AD-08C1-95B328B4C3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61</xdr:col>
      <xdr:colOff>596661</xdr:colOff>
      <xdr:row>24</xdr:row>
      <xdr:rowOff>1438</xdr:rowOff>
    </xdr:from>
    <xdr:to>
      <xdr:col>65</xdr:col>
      <xdr:colOff>1150189</xdr:colOff>
      <xdr:row>36</xdr:row>
      <xdr:rowOff>14377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FDFDAB1-B745-4E2B-08EC-86FB8601FE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66</xdr:col>
      <xdr:colOff>294736</xdr:colOff>
      <xdr:row>23</xdr:row>
      <xdr:rowOff>173967</xdr:rowOff>
    </xdr:from>
    <xdr:to>
      <xdr:col>69</xdr:col>
      <xdr:colOff>287547</xdr:colOff>
      <xdr:row>36</xdr:row>
      <xdr:rowOff>43132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203B4919-473B-C327-B8CC-D19C9E48F9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LASH R.G" refreshedDate="46276.884870486108" createdVersion="8" refreshedVersion="8" minRefreshableVersion="3" recordCount="100" xr:uid="{A2D3351F-BB8C-46A4-8873-0BFF1AD045D6}">
  <cacheSource type="worksheet">
    <worksheetSource ref="A1:J101" sheet="Sheet1"/>
  </cacheSource>
  <cacheFields count="10">
    <cacheField name="S.No" numFmtId="0">
      <sharedItems containsSemiMixedTypes="0" containsString="0" containsNumber="1" containsInteger="1" minValue="1" maxValue="100"/>
    </cacheField>
    <cacheField name="Student ID" numFmtId="0">
      <sharedItems/>
    </cacheField>
    <cacheField name="Student Name" numFmtId="0">
      <sharedItems/>
    </cacheField>
    <cacheField name="Python" numFmtId="0">
      <sharedItems containsSemiMixedTypes="0" containsString="0" containsNumber="1" containsInteger="1" minValue="65" maxValue="95"/>
    </cacheField>
    <cacheField name="C++" numFmtId="0">
      <sharedItems containsSemiMixedTypes="0" containsString="0" containsNumber="1" containsInteger="1" minValue="69" maxValue="95"/>
    </cacheField>
    <cacheField name="Maths" numFmtId="0">
      <sharedItems containsSemiMixedTypes="0" containsString="0" containsNumber="1" containsInteger="1" minValue="68" maxValue="96"/>
    </cacheField>
    <cacheField name="DS" numFmtId="0">
      <sharedItems containsSemiMixedTypes="0" containsString="0" containsNumber="1" containsInteger="1" minValue="69" maxValue="96"/>
    </cacheField>
    <cacheField name="DBMS" numFmtId="0">
      <sharedItems containsSemiMixedTypes="0" containsString="0" containsNumber="1" containsInteger="1" minValue="68" maxValue="95"/>
    </cacheField>
    <cacheField name="Total" numFmtId="0">
      <sharedItems containsSemiMixedTypes="0" containsString="0" containsNumber="1" containsInteger="1" minValue="349" maxValue="470"/>
    </cacheField>
    <cacheField name="Average" numFmtId="0">
      <sharedItems containsSemiMixedTypes="0" containsString="0" containsNumber="1" minValue="69.8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ILASH R.G" refreshedDate="46276.888177893517" createdVersion="8" refreshedVersion="8" minRefreshableVersion="3" recordCount="100" xr:uid="{99ACB3C2-AD7F-47C3-9FBC-AB53109D4504}">
  <cacheSource type="worksheet">
    <worksheetSource ref="A1:M101" sheet="Sheet1"/>
  </cacheSource>
  <cacheFields count="13">
    <cacheField name="S.No" numFmtId="0">
      <sharedItems containsSemiMixedTypes="0" containsString="0" containsNumber="1" containsInteger="1" minValue="1" maxValue="100"/>
    </cacheField>
    <cacheField name="Student ID" numFmtId="0">
      <sharedItems count="100">
        <s v="AI001"/>
        <s v="AI002"/>
        <s v="AI003"/>
        <s v="AI004"/>
        <s v="AI005"/>
        <s v="AI006"/>
        <s v="AI007"/>
        <s v="AI008"/>
        <s v="AI009"/>
        <s v="AI010"/>
        <s v="AI011"/>
        <s v="AI012"/>
        <s v="AI013"/>
        <s v="AI014"/>
        <s v="AI015"/>
        <s v="AI016"/>
        <s v="AI017"/>
        <s v="AI018"/>
        <s v="AI019"/>
        <s v="AI020"/>
        <s v="AI021"/>
        <s v="AI022"/>
        <s v="AI023"/>
        <s v="AI024"/>
        <s v="AI025"/>
        <s v="AI026"/>
        <s v="AI027"/>
        <s v="AI028"/>
        <s v="AI029"/>
        <s v="AI030"/>
        <s v="AI031"/>
        <s v="AI032"/>
        <s v="AI033"/>
        <s v="AI034"/>
        <s v="AI035"/>
        <s v="AI036"/>
        <s v="AI037"/>
        <s v="AI038"/>
        <s v="AI039"/>
        <s v="AI040"/>
        <s v="AI041"/>
        <s v="AI042"/>
        <s v="AI043"/>
        <s v="AI044"/>
        <s v="AI045"/>
        <s v="AI046"/>
        <s v="AI047"/>
        <s v="AI048"/>
        <s v="AI049"/>
        <s v="AI050"/>
        <s v="AI051"/>
        <s v="AI052"/>
        <s v="AI053"/>
        <s v="AI054"/>
        <s v="AI055"/>
        <s v="AI056"/>
        <s v="AI057"/>
        <s v="AI058"/>
        <s v="AI059"/>
        <s v="AI060"/>
        <s v="AI061"/>
        <s v="AI062"/>
        <s v="AI063"/>
        <s v="AI064"/>
        <s v="AI065"/>
        <s v="AI066"/>
        <s v="AI067"/>
        <s v="AI068"/>
        <s v="AI069"/>
        <s v="AI070"/>
        <s v="AI071"/>
        <s v="AI072"/>
        <s v="AI073"/>
        <s v="AI074"/>
        <s v="AI075"/>
        <s v="AI076"/>
        <s v="AI077"/>
        <s v="AI078"/>
        <s v="AI079"/>
        <s v="AI080"/>
        <s v="AI081"/>
        <s v="AI082"/>
        <s v="AI083"/>
        <s v="AI084"/>
        <s v="AI085"/>
        <s v="AI086"/>
        <s v="AI087"/>
        <s v="AI088"/>
        <s v="AI089"/>
        <s v="AI090"/>
        <s v="AI091"/>
        <s v="AI092"/>
        <s v="AI093"/>
        <s v="AI094"/>
        <s v="AI095"/>
        <s v="AI096"/>
        <s v="AI097"/>
        <s v="AI098"/>
        <s v="AI099"/>
        <s v="AI100"/>
      </sharedItems>
    </cacheField>
    <cacheField name="Student Name" numFmtId="0">
      <sharedItems/>
    </cacheField>
    <cacheField name="Department" numFmtId="0">
      <sharedItems count="6">
        <s v="AI&amp;DS"/>
        <s v="CSE"/>
        <s v="IT"/>
        <s v="ECE"/>
        <s v="EEE"/>
        <s v="Mechanical"/>
      </sharedItems>
    </cacheField>
    <cacheField name="Year" numFmtId="0">
      <sharedItems containsSemiMixedTypes="0" containsString="0" containsNumber="1" containsInteger="1" minValue="1" maxValue="1"/>
    </cacheField>
    <cacheField name="Section" numFmtId="0">
      <sharedItems/>
    </cacheField>
    <cacheField name="Python" numFmtId="0">
      <sharedItems containsSemiMixedTypes="0" containsString="0" containsNumber="1" containsInteger="1" minValue="65" maxValue="95"/>
    </cacheField>
    <cacheField name="C++" numFmtId="0">
      <sharedItems containsSemiMixedTypes="0" containsString="0" containsNumber="1" containsInteger="1" minValue="69" maxValue="95"/>
    </cacheField>
    <cacheField name="Maths" numFmtId="0">
      <sharedItems containsSemiMixedTypes="0" containsString="0" containsNumber="1" containsInteger="1" minValue="68" maxValue="96"/>
    </cacheField>
    <cacheField name="DS" numFmtId="0">
      <sharedItems containsSemiMixedTypes="0" containsString="0" containsNumber="1" containsInteger="1" minValue="69" maxValue="96"/>
    </cacheField>
    <cacheField name="DBMS" numFmtId="0">
      <sharedItems containsSemiMixedTypes="0" containsString="0" containsNumber="1" containsInteger="1" minValue="68" maxValue="95"/>
    </cacheField>
    <cacheField name="Total" numFmtId="0">
      <sharedItems containsSemiMixedTypes="0" containsString="0" containsNumber="1" containsInteger="1" minValue="349" maxValue="470"/>
    </cacheField>
    <cacheField name="Average" numFmtId="0">
      <sharedItems containsSemiMixedTypes="0" containsString="0" containsNumber="1" minValue="69.8" maxValue="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s v="AI001"/>
    <s v="Aarav"/>
    <n v="88"/>
    <n v="82"/>
    <n v="91"/>
    <n v="85"/>
    <n v="89"/>
    <n v="435"/>
    <n v="87"/>
  </r>
  <r>
    <n v="2"/>
    <s v="AI002"/>
    <s v="Abinaya"/>
    <n v="76"/>
    <n v="84"/>
    <n v="79"/>
    <n v="81"/>
    <n v="86"/>
    <n v="406"/>
    <n v="81.2"/>
  </r>
  <r>
    <n v="3"/>
    <s v="AI003"/>
    <s v="Adithya"/>
    <n v="92"/>
    <n v="89"/>
    <n v="95"/>
    <n v="90"/>
    <n v="94"/>
    <n v="460"/>
    <n v="92"/>
  </r>
  <r>
    <n v="4"/>
    <s v="AI004"/>
    <s v="Akash"/>
    <n v="68"/>
    <n v="72"/>
    <n v="75"/>
    <n v="70"/>
    <n v="78"/>
    <n v="363"/>
    <n v="72.599999999999994"/>
  </r>
  <r>
    <n v="5"/>
    <s v="AI005"/>
    <s v="Ananya"/>
    <n v="85"/>
    <n v="91"/>
    <n v="88"/>
    <n v="86"/>
    <n v="90"/>
    <n v="440"/>
    <n v="88"/>
  </r>
  <r>
    <n v="6"/>
    <s v="AI006"/>
    <s v="Arjun"/>
    <n v="79"/>
    <n v="77"/>
    <n v="82"/>
    <n v="80"/>
    <n v="75"/>
    <n v="393"/>
    <n v="78.599999999999994"/>
  </r>
  <r>
    <n v="7"/>
    <s v="AI007"/>
    <s v="Ashwin"/>
    <n v="94"/>
    <n v="92"/>
    <n v="89"/>
    <n v="95"/>
    <n v="91"/>
    <n v="461"/>
    <n v="92.2"/>
  </r>
  <r>
    <n v="8"/>
    <s v="AI008"/>
    <s v="Aishwarya"/>
    <n v="81"/>
    <n v="85"/>
    <n v="84"/>
    <n v="79"/>
    <n v="88"/>
    <n v="417"/>
    <n v="83.4"/>
  </r>
  <r>
    <n v="9"/>
    <s v="AI009"/>
    <s v="Bala"/>
    <n v="73"/>
    <n v="69"/>
    <n v="77"/>
    <n v="75"/>
    <n v="72"/>
    <n v="366"/>
    <n v="73.2"/>
  </r>
  <r>
    <n v="10"/>
    <s v="AI010"/>
    <s v="Bhavana"/>
    <n v="89"/>
    <n v="87"/>
    <n v="93"/>
    <n v="90"/>
    <n v="85"/>
    <n v="444"/>
    <n v="88.8"/>
  </r>
  <r>
    <n v="11"/>
    <s v="AI011"/>
    <s v="Charan"/>
    <n v="78"/>
    <n v="80"/>
    <n v="76"/>
    <n v="83"/>
    <n v="81"/>
    <n v="398"/>
    <n v="79.599999999999994"/>
  </r>
  <r>
    <n v="12"/>
    <s v="AI012"/>
    <s v="Deepak"/>
    <n v="91"/>
    <n v="88"/>
    <n v="90"/>
    <n v="86"/>
    <n v="93"/>
    <n v="448"/>
    <n v="89.6"/>
  </r>
  <r>
    <n v="13"/>
    <s v="AI013"/>
    <s v="Dharani"/>
    <n v="84"/>
    <n v="79"/>
    <n v="87"/>
    <n v="82"/>
    <n v="85"/>
    <n v="417"/>
    <n v="83.4"/>
  </r>
  <r>
    <n v="14"/>
    <s v="AI014"/>
    <s v="Dinesh"/>
    <n v="65"/>
    <n v="71"/>
    <n v="69"/>
    <n v="74"/>
    <n v="70"/>
    <n v="349"/>
    <n v="69.8"/>
  </r>
  <r>
    <n v="15"/>
    <s v="AI015"/>
    <s v="Divya"/>
    <n v="93"/>
    <n v="95"/>
    <n v="91"/>
    <n v="89"/>
    <n v="94"/>
    <n v="462"/>
    <n v="92.4"/>
  </r>
  <r>
    <n v="16"/>
    <s v="AI016"/>
    <s v="Ezhil"/>
    <n v="77"/>
    <n v="74"/>
    <n v="80"/>
    <n v="78"/>
    <n v="82"/>
    <n v="391"/>
    <n v="78.2"/>
  </r>
  <r>
    <n v="17"/>
    <s v="AI017"/>
    <s v="Farhan"/>
    <n v="86"/>
    <n v="83"/>
    <n v="85"/>
    <n v="88"/>
    <n v="80"/>
    <n v="422"/>
    <n v="84.4"/>
  </r>
  <r>
    <n v="18"/>
    <s v="AI018"/>
    <s v="Gayathri"/>
    <n v="90"/>
    <n v="92"/>
    <n v="94"/>
    <n v="91"/>
    <n v="89"/>
    <n v="456"/>
    <n v="91.2"/>
  </r>
  <r>
    <n v="19"/>
    <s v="AI019"/>
    <s v="Gokul"/>
    <n v="72"/>
    <n v="78"/>
    <n v="74"/>
    <n v="69"/>
    <n v="76"/>
    <n v="369"/>
    <n v="73.8"/>
  </r>
  <r>
    <n v="20"/>
    <s v="AI020"/>
    <s v="Harish"/>
    <n v="83"/>
    <n v="81"/>
    <n v="79"/>
    <n v="85"/>
    <n v="87"/>
    <n v="415"/>
    <n v="83"/>
  </r>
  <r>
    <n v="21"/>
    <s v="AI021"/>
    <s v="Harini"/>
    <n v="88"/>
    <n v="90"/>
    <n v="86"/>
    <n v="92"/>
    <n v="91"/>
    <n v="447"/>
    <n v="89.4"/>
  </r>
  <r>
    <n v="22"/>
    <s v="AI022"/>
    <s v="Hari"/>
    <n v="75"/>
    <n v="73"/>
    <n v="81"/>
    <n v="77"/>
    <n v="79"/>
    <n v="385"/>
    <n v="77"/>
  </r>
  <r>
    <n v="23"/>
    <s v="AI023"/>
    <s v="Hemanth"/>
    <n v="91"/>
    <n v="85"/>
    <n v="89"/>
    <n v="94"/>
    <n v="88"/>
    <n v="447"/>
    <n v="89.4"/>
  </r>
  <r>
    <n v="24"/>
    <s v="AI024"/>
    <s v="Ishwarya"/>
    <n v="82"/>
    <n v="87"/>
    <n v="84"/>
    <n v="80"/>
    <n v="86"/>
    <n v="419"/>
    <n v="83.8"/>
  </r>
  <r>
    <n v="25"/>
    <s v="AI025"/>
    <s v="Jai"/>
    <n v="69"/>
    <n v="75"/>
    <n v="71"/>
    <n v="73"/>
    <n v="68"/>
    <n v="356"/>
    <n v="71.2"/>
  </r>
  <r>
    <n v="26"/>
    <s v="AI026"/>
    <s v="Janani"/>
    <n v="95"/>
    <n v="91"/>
    <n v="93"/>
    <n v="96"/>
    <n v="92"/>
    <n v="467"/>
    <n v="93.4"/>
  </r>
  <r>
    <n v="27"/>
    <s v="AI027"/>
    <s v="Karthik"/>
    <n v="80"/>
    <n v="78"/>
    <n v="83"/>
    <n v="81"/>
    <n v="77"/>
    <n v="399"/>
    <n v="79.8"/>
  </r>
  <r>
    <n v="28"/>
    <s v="AI028"/>
    <s v="Kavya"/>
    <n v="87"/>
    <n v="89"/>
    <n v="90"/>
    <n v="85"/>
    <n v="88"/>
    <n v="439"/>
    <n v="87.8"/>
  </r>
  <r>
    <n v="29"/>
    <s v="AI029"/>
    <s v="Kishore"/>
    <n v="74"/>
    <n v="70"/>
    <n v="76"/>
    <n v="79"/>
    <n v="73"/>
    <n v="372"/>
    <n v="74.400000000000006"/>
  </r>
  <r>
    <n v="30"/>
    <s v="AI030"/>
    <s v="Lakshmi"/>
    <n v="92"/>
    <n v="94"/>
    <n v="89"/>
    <n v="91"/>
    <n v="95"/>
    <n v="461"/>
    <n v="92.2"/>
  </r>
  <r>
    <n v="31"/>
    <s v="AI031"/>
    <s v="Lokesh"/>
    <n v="81"/>
    <n v="76"/>
    <n v="85"/>
    <n v="83"/>
    <n v="80"/>
    <n v="405"/>
    <n v="81"/>
  </r>
  <r>
    <n v="32"/>
    <s v="AI032"/>
    <s v="Madhan"/>
    <n v="77"/>
    <n v="82"/>
    <n v="79"/>
    <n v="75"/>
    <n v="84"/>
    <n v="397"/>
    <n v="79.400000000000006"/>
  </r>
  <r>
    <n v="33"/>
    <s v="AI033"/>
    <s v="Mahalakshmi"/>
    <n v="89"/>
    <n v="93"/>
    <n v="91"/>
    <n v="88"/>
    <n v="90"/>
    <n v="451"/>
    <n v="90.2"/>
  </r>
  <r>
    <n v="34"/>
    <s v="AI034"/>
    <s v="Manikandan"/>
    <n v="71"/>
    <n v="74"/>
    <n v="68"/>
    <n v="72"/>
    <n v="77"/>
    <n v="362"/>
    <n v="72.400000000000006"/>
  </r>
  <r>
    <n v="35"/>
    <s v="AI035"/>
    <s v="Manoj"/>
    <n v="84"/>
    <n v="80"/>
    <n v="86"/>
    <n v="87"/>
    <n v="82"/>
    <n v="419"/>
    <n v="83.8"/>
  </r>
  <r>
    <n v="36"/>
    <s v="AI036"/>
    <s v="Meena"/>
    <n v="90"/>
    <n v="88"/>
    <n v="92"/>
    <n v="94"/>
    <n v="91"/>
    <n v="455"/>
    <n v="91"/>
  </r>
  <r>
    <n v="37"/>
    <s v="AI037"/>
    <s v="Mohamed"/>
    <n v="79"/>
    <n v="83"/>
    <n v="77"/>
    <n v="80"/>
    <n v="85"/>
    <n v="404"/>
    <n v="80.8"/>
  </r>
  <r>
    <n v="38"/>
    <s v="AI038"/>
    <s v="Monisha"/>
    <n v="86"/>
    <n v="90"/>
    <n v="88"/>
    <n v="84"/>
    <n v="92"/>
    <n v="440"/>
    <n v="88"/>
  </r>
  <r>
    <n v="39"/>
    <s v="AI039"/>
    <s v="Nandhini"/>
    <n v="93"/>
    <n v="87"/>
    <n v="95"/>
    <n v="91"/>
    <n v="89"/>
    <n v="455"/>
    <n v="91"/>
  </r>
  <r>
    <n v="40"/>
    <s v="AI040"/>
    <s v="Naveen"/>
    <n v="68"/>
    <n v="73"/>
    <n v="70"/>
    <n v="76"/>
    <n v="74"/>
    <n v="361"/>
    <n v="72.2"/>
  </r>
  <r>
    <n v="41"/>
    <s v="AI041"/>
    <s v="Nikhil"/>
    <n v="82"/>
    <n v="85"/>
    <n v="80"/>
    <n v="88"/>
    <n v="83"/>
    <n v="418"/>
    <n v="83.6"/>
  </r>
  <r>
    <n v="42"/>
    <s v="AI042"/>
    <s v="Pavithra"/>
    <n v="91"/>
    <n v="89"/>
    <n v="93"/>
    <n v="90"/>
    <n v="95"/>
    <n v="458"/>
    <n v="91.6"/>
  </r>
  <r>
    <n v="43"/>
    <s v="AI043"/>
    <s v="Pranav"/>
    <n v="76"/>
    <n v="79"/>
    <n v="82"/>
    <n v="74"/>
    <n v="81"/>
    <n v="392"/>
    <n v="78.400000000000006"/>
  </r>
  <r>
    <n v="44"/>
    <s v="AI044"/>
    <s v="Priya"/>
    <n v="88"/>
    <n v="92"/>
    <n v="86"/>
    <n v="89"/>
    <n v="91"/>
    <n v="446"/>
    <n v="89.2"/>
  </r>
  <r>
    <n v="45"/>
    <s v="AI045"/>
    <s v="Rahul"/>
    <n v="73"/>
    <n v="77"/>
    <n v="75"/>
    <n v="80"/>
    <n v="72"/>
    <n v="377"/>
    <n v="75.400000000000006"/>
  </r>
  <r>
    <n v="46"/>
    <s v="AI046"/>
    <s v="Rakesh"/>
    <n v="85"/>
    <n v="81"/>
    <n v="89"/>
    <n v="84"/>
    <n v="87"/>
    <n v="426"/>
    <n v="85.2"/>
  </r>
  <r>
    <n v="47"/>
    <s v="AI047"/>
    <s v="Ramya"/>
    <n v="94"/>
    <n v="90"/>
    <n v="92"/>
    <n v="95"/>
    <n v="93"/>
    <n v="464"/>
    <n v="92.8"/>
  </r>
  <r>
    <n v="48"/>
    <s v="AI048"/>
    <s v="Ranjith"/>
    <n v="78"/>
    <n v="75"/>
    <n v="80"/>
    <n v="82"/>
    <n v="79"/>
    <n v="394"/>
    <n v="78.8"/>
  </r>
  <r>
    <n v="49"/>
    <s v="AI049"/>
    <s v="Reshma"/>
    <n v="83"/>
    <n v="86"/>
    <n v="84"/>
    <n v="88"/>
    <n v="90"/>
    <n v="431"/>
    <n v="86.2"/>
  </r>
  <r>
    <n v="50"/>
    <s v="AI050"/>
    <s v="Rohit"/>
    <n v="70"/>
    <n v="72"/>
    <n v="78"/>
    <n v="74"/>
    <n v="76"/>
    <n v="370"/>
    <n v="74"/>
  </r>
  <r>
    <n v="51"/>
    <s v="AI051"/>
    <s v="Sachin"/>
    <n v="89"/>
    <n v="85"/>
    <n v="91"/>
    <n v="87"/>
    <n v="90"/>
    <n v="442"/>
    <n v="88.4"/>
  </r>
  <r>
    <n v="52"/>
    <s v="AI052"/>
    <s v="Sakthi"/>
    <n v="81"/>
    <n v="79"/>
    <n v="83"/>
    <n v="85"/>
    <n v="80"/>
    <n v="408"/>
    <n v="81.599999999999994"/>
  </r>
  <r>
    <n v="53"/>
    <s v="AI053"/>
    <s v="Sanjay"/>
    <n v="92"/>
    <n v="88"/>
    <n v="94"/>
    <n v="90"/>
    <n v="93"/>
    <n v="457"/>
    <n v="91.4"/>
  </r>
  <r>
    <n v="54"/>
    <s v="AI054"/>
    <s v="Santhosh"/>
    <n v="75"/>
    <n v="81"/>
    <n v="72"/>
    <n v="78"/>
    <n v="74"/>
    <n v="380"/>
    <n v="76"/>
  </r>
  <r>
    <n v="55"/>
    <s v="AI055"/>
    <s v="Saranya"/>
    <n v="87"/>
    <n v="90"/>
    <n v="85"/>
    <n v="92"/>
    <n v="88"/>
    <n v="442"/>
    <n v="88.4"/>
  </r>
  <r>
    <n v="56"/>
    <s v="AI056"/>
    <s v="Shalini"/>
    <n v="90"/>
    <n v="93"/>
    <n v="89"/>
    <n v="86"/>
    <n v="91"/>
    <n v="449"/>
    <n v="89.8"/>
  </r>
  <r>
    <n v="57"/>
    <s v="AI057"/>
    <s v="Shankar"/>
    <n v="67"/>
    <n v="70"/>
    <n v="73"/>
    <n v="69"/>
    <n v="75"/>
    <n v="354"/>
    <n v="70.8"/>
  </r>
  <r>
    <n v="58"/>
    <s v="AI058"/>
    <s v="Sharmila"/>
    <n v="84"/>
    <n v="88"/>
    <n v="82"/>
    <n v="85"/>
    <n v="87"/>
    <n v="426"/>
    <n v="85.2"/>
  </r>
  <r>
    <n v="59"/>
    <s v="AI059"/>
    <s v="Shiva"/>
    <n v="79"/>
    <n v="76"/>
    <n v="81"/>
    <n v="77"/>
    <n v="83"/>
    <n v="396"/>
    <n v="79.2"/>
  </r>
  <r>
    <n v="60"/>
    <s v="AI060"/>
    <s v="Shruthi"/>
    <n v="93"/>
    <n v="91"/>
    <n v="96"/>
    <n v="92"/>
    <n v="94"/>
    <n v="466"/>
    <n v="93.2"/>
  </r>
  <r>
    <n v="61"/>
    <s v="AI061"/>
    <s v="Siva"/>
    <n v="72"/>
    <n v="78"/>
    <n v="75"/>
    <n v="71"/>
    <n v="80"/>
    <n v="376"/>
    <n v="75.2"/>
  </r>
  <r>
    <n v="62"/>
    <s v="AI062"/>
    <s v="Sneha"/>
    <n v="88"/>
    <n v="86"/>
    <n v="90"/>
    <n v="89"/>
    <n v="92"/>
    <n v="445"/>
    <n v="89"/>
  </r>
  <r>
    <n v="63"/>
    <s v="AI063"/>
    <s v="Sriram"/>
    <n v="80"/>
    <n v="84"/>
    <n v="78"/>
    <n v="82"/>
    <n v="85"/>
    <n v="409"/>
    <n v="81.8"/>
  </r>
  <r>
    <n v="64"/>
    <s v="AI064"/>
    <s v="Surya"/>
    <n v="74"/>
    <n v="71"/>
    <n v="79"/>
    <n v="76"/>
    <n v="73"/>
    <n v="373"/>
    <n v="74.599999999999994"/>
  </r>
  <r>
    <n v="65"/>
    <s v="AI065"/>
    <s v="Swetha"/>
    <n v="91"/>
    <n v="95"/>
    <n v="90"/>
    <n v="93"/>
    <n v="89"/>
    <n v="458"/>
    <n v="91.6"/>
  </r>
  <r>
    <n v="66"/>
    <s v="AI066"/>
    <s v="Tamilselvan"/>
    <n v="83"/>
    <n v="80"/>
    <n v="85"/>
    <n v="81"/>
    <n v="87"/>
    <n v="416"/>
    <n v="83.2"/>
  </r>
  <r>
    <n v="67"/>
    <s v="AI067"/>
    <s v="Tharun"/>
    <n v="77"/>
    <n v="73"/>
    <n v="76"/>
    <n v="79"/>
    <n v="81"/>
    <n v="386"/>
    <n v="77.2"/>
  </r>
  <r>
    <n v="68"/>
    <s v="AI068"/>
    <s v="Udhaya"/>
    <n v="86"/>
    <n v="89"/>
    <n v="84"/>
    <n v="88"/>
    <n v="90"/>
    <n v="437"/>
    <n v="87.4"/>
  </r>
  <r>
    <n v="69"/>
    <s v="AI069"/>
    <s v="Vaishnavi"/>
    <n v="95"/>
    <n v="92"/>
    <n v="94"/>
    <n v="96"/>
    <n v="91"/>
    <n v="468"/>
    <n v="93.6"/>
  </r>
  <r>
    <n v="70"/>
    <s v="AI070"/>
    <s v="Varun"/>
    <n v="69"/>
    <n v="76"/>
    <n v="72"/>
    <n v="75"/>
    <n v="70"/>
    <n v="362"/>
    <n v="72.400000000000006"/>
  </r>
  <r>
    <n v="71"/>
    <s v="AI071"/>
    <s v="Vignesh"/>
    <n v="82"/>
    <n v="79"/>
    <n v="85"/>
    <n v="80"/>
    <n v="84"/>
    <n v="410"/>
    <n v="82"/>
  </r>
  <r>
    <n v="72"/>
    <s v="AI072"/>
    <s v="Vishal"/>
    <n v="89"/>
    <n v="87"/>
    <n v="92"/>
    <n v="90"/>
    <n v="88"/>
    <n v="446"/>
    <n v="89.2"/>
  </r>
  <r>
    <n v="73"/>
    <s v="AI073"/>
    <s v="Yamini"/>
    <n v="93"/>
    <n v="90"/>
    <n v="95"/>
    <n v="92"/>
    <n v="94"/>
    <n v="464"/>
    <n v="92.8"/>
  </r>
  <r>
    <n v="74"/>
    <s v="AI074"/>
    <s v="Yashwanth"/>
    <n v="78"/>
    <n v="82"/>
    <n v="80"/>
    <n v="76"/>
    <n v="85"/>
    <n v="401"/>
    <n v="80.2"/>
  </r>
  <r>
    <n v="75"/>
    <s v="AI075"/>
    <s v="Abhishek"/>
    <n v="85"/>
    <n v="88"/>
    <n v="83"/>
    <n v="86"/>
    <n v="90"/>
    <n v="432"/>
    <n v="86.4"/>
  </r>
  <r>
    <n v="76"/>
    <s v="AI076"/>
    <s v="Aarthi"/>
    <n v="90"/>
    <n v="91"/>
    <n v="87"/>
    <n v="94"/>
    <n v="89"/>
    <n v="451"/>
    <n v="90.2"/>
  </r>
  <r>
    <n v="77"/>
    <s v="AI077"/>
    <s v="Anirudh"/>
    <n v="73"/>
    <n v="79"/>
    <n v="71"/>
    <n v="77"/>
    <n v="75"/>
    <n v="375"/>
    <n v="75"/>
  </r>
  <r>
    <n v="78"/>
    <s v="AI078"/>
    <s v="Akshaya"/>
    <n v="87"/>
    <n v="84"/>
    <n v="91"/>
    <n v="88"/>
    <n v="86"/>
    <n v="436"/>
    <n v="87.2"/>
  </r>
  <r>
    <n v="79"/>
    <s v="AI079"/>
    <s v="Bharath"/>
    <n v="81"/>
    <n v="77"/>
    <n v="84"/>
    <n v="79"/>
    <n v="82"/>
    <n v="403"/>
    <n v="80.599999999999994"/>
  </r>
  <r>
    <n v="80"/>
    <s v="AI080"/>
    <s v="Chandru"/>
    <n v="68"/>
    <n v="74"/>
    <n v="70"/>
    <n v="72"/>
    <n v="76"/>
    <n v="360"/>
    <n v="72"/>
  </r>
  <r>
    <n v="81"/>
    <s v="AI081"/>
    <s v="Darshan"/>
    <n v="92"/>
    <n v="89"/>
    <n v="93"/>
    <n v="91"/>
    <n v="95"/>
    <n v="460"/>
    <n v="92"/>
  </r>
  <r>
    <n v="82"/>
    <s v="AI082"/>
    <s v="Dhanush"/>
    <n v="76"/>
    <n v="80"/>
    <n v="78"/>
    <n v="83"/>
    <n v="81"/>
    <n v="398"/>
    <n v="79.599999999999994"/>
  </r>
  <r>
    <n v="83"/>
    <s v="AI083"/>
    <s v="Gautham"/>
    <n v="84"/>
    <n v="86"/>
    <n v="82"/>
    <n v="87"/>
    <n v="89"/>
    <n v="428"/>
    <n v="85.6"/>
  </r>
  <r>
    <n v="84"/>
    <s v="AI084"/>
    <s v="Keerthana"/>
    <n v="94"/>
    <n v="92"/>
    <n v="90"/>
    <n v="95"/>
    <n v="93"/>
    <n v="464"/>
    <n v="92.8"/>
  </r>
  <r>
    <n v="85"/>
    <s v="AI085"/>
    <s v="Madhumitha"/>
    <n v="89"/>
    <n v="85"/>
    <n v="88"/>
    <n v="91"/>
    <n v="90"/>
    <n v="443"/>
    <n v="88.6"/>
  </r>
  <r>
    <n v="86"/>
    <s v="AI086"/>
    <s v="Nithin"/>
    <n v="71"/>
    <n v="75"/>
    <n v="73"/>
    <n v="78"/>
    <n v="76"/>
    <n v="373"/>
    <n v="74.599999999999994"/>
  </r>
  <r>
    <n v="87"/>
    <s v="AI087"/>
    <s v="Pavani"/>
    <n v="86"/>
    <n v="90"/>
    <n v="85"/>
    <n v="87"/>
    <n v="92"/>
    <n v="440"/>
    <n v="88"/>
  </r>
  <r>
    <n v="88"/>
    <s v="AI088"/>
    <s v="Pradeep"/>
    <n v="80"/>
    <n v="78"/>
    <n v="82"/>
    <n v="84"/>
    <n v="79"/>
    <n v="403"/>
    <n v="80.599999999999994"/>
  </r>
  <r>
    <n v="89"/>
    <s v="AI089"/>
    <s v="Rithika"/>
    <n v="91"/>
    <n v="94"/>
    <n v="93"/>
    <n v="89"/>
    <n v="95"/>
    <n v="462"/>
    <n v="92.4"/>
  </r>
  <r>
    <n v="90"/>
    <s v="AI090"/>
    <s v="Sanjana"/>
    <n v="83"/>
    <n v="87"/>
    <n v="85"/>
    <n v="82"/>
    <n v="88"/>
    <n v="425"/>
    <n v="85"/>
  </r>
  <r>
    <n v="91"/>
    <s v="AI091"/>
    <s v="Saran"/>
    <n v="75"/>
    <n v="72"/>
    <n v="78"/>
    <n v="80"/>
    <n v="74"/>
    <n v="379"/>
    <n v="75.8"/>
  </r>
  <r>
    <n v="92"/>
    <s v="AI092"/>
    <s v="Sowmya"/>
    <n v="88"/>
    <n v="90"/>
    <n v="92"/>
    <n v="86"/>
    <n v="91"/>
    <n v="447"/>
    <n v="89.4"/>
  </r>
  <r>
    <n v="93"/>
    <s v="AI093"/>
    <s v="Surendran"/>
    <n v="79"/>
    <n v="83"/>
    <n v="77"/>
    <n v="81"/>
    <n v="80"/>
    <n v="400"/>
    <n v="80"/>
  </r>
  <r>
    <n v="94"/>
    <s v="AI094"/>
    <s v="Varsha"/>
    <n v="93"/>
    <n v="95"/>
    <n v="90"/>
    <n v="92"/>
    <n v="94"/>
    <n v="464"/>
    <n v="92.8"/>
  </r>
  <r>
    <n v="95"/>
    <s v="AI095"/>
    <s v="Vikram"/>
    <n v="70"/>
    <n v="76"/>
    <n v="74"/>
    <n v="72"/>
    <n v="78"/>
    <n v="370"/>
    <n v="74"/>
  </r>
  <r>
    <n v="96"/>
    <s v="AI096"/>
    <s v="Abinav"/>
    <n v="85"/>
    <n v="82"/>
    <n v="87"/>
    <n v="89"/>
    <n v="84"/>
    <n v="427"/>
    <n v="85.4"/>
  </r>
  <r>
    <n v="97"/>
    <s v="AI097"/>
    <s v="Haritha"/>
    <n v="90"/>
    <n v="88"/>
    <n v="91"/>
    <n v="93"/>
    <n v="89"/>
    <n v="451"/>
    <n v="90.2"/>
  </r>
  <r>
    <n v="98"/>
    <s v="AI098"/>
    <s v="Kavin"/>
    <n v="77"/>
    <n v="81"/>
    <n v="79"/>
    <n v="75"/>
    <n v="83"/>
    <n v="395"/>
    <n v="79"/>
  </r>
  <r>
    <n v="99"/>
    <s v="AI099"/>
    <s v="Monish"/>
    <n v="82"/>
    <n v="85"/>
    <n v="80"/>
    <n v="84"/>
    <n v="87"/>
    <n v="418"/>
    <n v="83.6"/>
  </r>
  <r>
    <n v="100"/>
    <s v="AI100"/>
    <s v="Nivedha"/>
    <n v="95"/>
    <n v="93"/>
    <n v="96"/>
    <n v="94"/>
    <n v="92"/>
    <n v="470"/>
    <n v="9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"/>
    <x v="0"/>
    <s v="Aarav"/>
    <x v="0"/>
    <n v="1"/>
    <s v="A"/>
    <n v="88"/>
    <n v="82"/>
    <n v="91"/>
    <n v="85"/>
    <n v="89"/>
    <n v="435"/>
    <n v="87"/>
  </r>
  <r>
    <n v="2"/>
    <x v="1"/>
    <s v="Abinaya"/>
    <x v="0"/>
    <n v="1"/>
    <s v="A"/>
    <n v="76"/>
    <n v="84"/>
    <n v="79"/>
    <n v="81"/>
    <n v="86"/>
    <n v="406"/>
    <n v="81.2"/>
  </r>
  <r>
    <n v="3"/>
    <x v="2"/>
    <s v="Adithya"/>
    <x v="0"/>
    <n v="1"/>
    <s v="A"/>
    <n v="92"/>
    <n v="89"/>
    <n v="95"/>
    <n v="90"/>
    <n v="94"/>
    <n v="460"/>
    <n v="92"/>
  </r>
  <r>
    <n v="4"/>
    <x v="3"/>
    <s v="Akash"/>
    <x v="0"/>
    <n v="1"/>
    <s v="A"/>
    <n v="68"/>
    <n v="72"/>
    <n v="75"/>
    <n v="70"/>
    <n v="78"/>
    <n v="363"/>
    <n v="72.599999999999994"/>
  </r>
  <r>
    <n v="5"/>
    <x v="4"/>
    <s v="Ananya"/>
    <x v="0"/>
    <n v="1"/>
    <s v="A"/>
    <n v="85"/>
    <n v="91"/>
    <n v="88"/>
    <n v="86"/>
    <n v="90"/>
    <n v="440"/>
    <n v="88"/>
  </r>
  <r>
    <n v="6"/>
    <x v="5"/>
    <s v="Arjun"/>
    <x v="1"/>
    <n v="1"/>
    <s v="A"/>
    <n v="79"/>
    <n v="77"/>
    <n v="82"/>
    <n v="80"/>
    <n v="75"/>
    <n v="393"/>
    <n v="78.599999999999994"/>
  </r>
  <r>
    <n v="7"/>
    <x v="6"/>
    <s v="Ashwin"/>
    <x v="1"/>
    <n v="1"/>
    <s v="A"/>
    <n v="94"/>
    <n v="92"/>
    <n v="89"/>
    <n v="95"/>
    <n v="91"/>
    <n v="461"/>
    <n v="92.2"/>
  </r>
  <r>
    <n v="8"/>
    <x v="7"/>
    <s v="Aishwarya"/>
    <x v="1"/>
    <n v="1"/>
    <s v="A"/>
    <n v="81"/>
    <n v="85"/>
    <n v="84"/>
    <n v="79"/>
    <n v="88"/>
    <n v="417"/>
    <n v="83.4"/>
  </r>
  <r>
    <n v="9"/>
    <x v="8"/>
    <s v="Bala"/>
    <x v="1"/>
    <n v="1"/>
    <s v="A"/>
    <n v="73"/>
    <n v="69"/>
    <n v="77"/>
    <n v="75"/>
    <n v="72"/>
    <n v="366"/>
    <n v="73.2"/>
  </r>
  <r>
    <n v="10"/>
    <x v="9"/>
    <s v="Bhavana"/>
    <x v="1"/>
    <n v="1"/>
    <s v="A"/>
    <n v="89"/>
    <n v="87"/>
    <n v="93"/>
    <n v="90"/>
    <n v="85"/>
    <n v="444"/>
    <n v="88.8"/>
  </r>
  <r>
    <n v="11"/>
    <x v="10"/>
    <s v="Charan"/>
    <x v="1"/>
    <n v="1"/>
    <s v="B"/>
    <n v="78"/>
    <n v="80"/>
    <n v="76"/>
    <n v="83"/>
    <n v="81"/>
    <n v="398"/>
    <n v="79.599999999999994"/>
  </r>
  <r>
    <n v="12"/>
    <x v="11"/>
    <s v="Deepak"/>
    <x v="1"/>
    <n v="1"/>
    <s v="B"/>
    <n v="91"/>
    <n v="88"/>
    <n v="90"/>
    <n v="86"/>
    <n v="93"/>
    <n v="448"/>
    <n v="89.6"/>
  </r>
  <r>
    <n v="13"/>
    <x v="12"/>
    <s v="Dharani"/>
    <x v="1"/>
    <n v="1"/>
    <s v="B"/>
    <n v="84"/>
    <n v="79"/>
    <n v="87"/>
    <n v="82"/>
    <n v="85"/>
    <n v="417"/>
    <n v="83.4"/>
  </r>
  <r>
    <n v="14"/>
    <x v="13"/>
    <s v="Dinesh"/>
    <x v="2"/>
    <n v="1"/>
    <s v="A"/>
    <n v="65"/>
    <n v="71"/>
    <n v="69"/>
    <n v="74"/>
    <n v="70"/>
    <n v="349"/>
    <n v="69.8"/>
  </r>
  <r>
    <n v="15"/>
    <x v="14"/>
    <s v="Divya"/>
    <x v="2"/>
    <n v="1"/>
    <s v="A"/>
    <n v="93"/>
    <n v="95"/>
    <n v="91"/>
    <n v="89"/>
    <n v="94"/>
    <n v="462"/>
    <n v="92.4"/>
  </r>
  <r>
    <n v="16"/>
    <x v="15"/>
    <s v="Ezhil"/>
    <x v="2"/>
    <n v="1"/>
    <s v="A"/>
    <n v="77"/>
    <n v="74"/>
    <n v="80"/>
    <n v="78"/>
    <n v="82"/>
    <n v="391"/>
    <n v="78.2"/>
  </r>
  <r>
    <n v="17"/>
    <x v="16"/>
    <s v="Farhan"/>
    <x v="2"/>
    <n v="1"/>
    <s v="A"/>
    <n v="86"/>
    <n v="83"/>
    <n v="85"/>
    <n v="88"/>
    <n v="80"/>
    <n v="422"/>
    <n v="84.4"/>
  </r>
  <r>
    <n v="18"/>
    <x v="17"/>
    <s v="Gayathri"/>
    <x v="2"/>
    <n v="1"/>
    <s v="A"/>
    <n v="90"/>
    <n v="92"/>
    <n v="94"/>
    <n v="91"/>
    <n v="89"/>
    <n v="456"/>
    <n v="91.2"/>
  </r>
  <r>
    <n v="19"/>
    <x v="18"/>
    <s v="Gokul"/>
    <x v="2"/>
    <n v="1"/>
    <s v="B"/>
    <n v="72"/>
    <n v="78"/>
    <n v="74"/>
    <n v="69"/>
    <n v="76"/>
    <n v="369"/>
    <n v="73.8"/>
  </r>
  <r>
    <n v="20"/>
    <x v="19"/>
    <s v="Harish"/>
    <x v="2"/>
    <n v="1"/>
    <s v="B"/>
    <n v="83"/>
    <n v="81"/>
    <n v="79"/>
    <n v="85"/>
    <n v="87"/>
    <n v="415"/>
    <n v="83"/>
  </r>
  <r>
    <n v="21"/>
    <x v="20"/>
    <s v="Harini"/>
    <x v="2"/>
    <n v="1"/>
    <s v="B"/>
    <n v="88"/>
    <n v="90"/>
    <n v="86"/>
    <n v="92"/>
    <n v="91"/>
    <n v="447"/>
    <n v="89.4"/>
  </r>
  <r>
    <n v="22"/>
    <x v="21"/>
    <s v="Hari"/>
    <x v="3"/>
    <n v="1"/>
    <s v="A"/>
    <n v="75"/>
    <n v="73"/>
    <n v="81"/>
    <n v="77"/>
    <n v="79"/>
    <n v="385"/>
    <n v="77"/>
  </r>
  <r>
    <n v="23"/>
    <x v="22"/>
    <s v="Hemanth"/>
    <x v="3"/>
    <n v="1"/>
    <s v="A"/>
    <n v="91"/>
    <n v="85"/>
    <n v="89"/>
    <n v="94"/>
    <n v="88"/>
    <n v="447"/>
    <n v="89.4"/>
  </r>
  <r>
    <n v="24"/>
    <x v="23"/>
    <s v="Ishwarya"/>
    <x v="3"/>
    <n v="1"/>
    <s v="A"/>
    <n v="82"/>
    <n v="87"/>
    <n v="84"/>
    <n v="80"/>
    <n v="86"/>
    <n v="419"/>
    <n v="83.8"/>
  </r>
  <r>
    <n v="25"/>
    <x v="24"/>
    <s v="Jai"/>
    <x v="3"/>
    <n v="1"/>
    <s v="A"/>
    <n v="69"/>
    <n v="75"/>
    <n v="71"/>
    <n v="73"/>
    <n v="68"/>
    <n v="356"/>
    <n v="71.2"/>
  </r>
  <r>
    <n v="26"/>
    <x v="25"/>
    <s v="Janani"/>
    <x v="3"/>
    <n v="1"/>
    <s v="A"/>
    <n v="95"/>
    <n v="91"/>
    <n v="93"/>
    <n v="96"/>
    <n v="92"/>
    <n v="467"/>
    <n v="93.4"/>
  </r>
  <r>
    <n v="27"/>
    <x v="26"/>
    <s v="Karthik"/>
    <x v="3"/>
    <n v="1"/>
    <s v="B"/>
    <n v="80"/>
    <n v="78"/>
    <n v="83"/>
    <n v="81"/>
    <n v="77"/>
    <n v="399"/>
    <n v="79.8"/>
  </r>
  <r>
    <n v="28"/>
    <x v="27"/>
    <s v="Kavya"/>
    <x v="3"/>
    <n v="1"/>
    <s v="B"/>
    <n v="87"/>
    <n v="89"/>
    <n v="90"/>
    <n v="85"/>
    <n v="88"/>
    <n v="439"/>
    <n v="87.8"/>
  </r>
  <r>
    <n v="29"/>
    <x v="28"/>
    <s v="Kishore"/>
    <x v="4"/>
    <n v="1"/>
    <s v="A"/>
    <n v="74"/>
    <n v="70"/>
    <n v="76"/>
    <n v="79"/>
    <n v="73"/>
    <n v="372"/>
    <n v="74.400000000000006"/>
  </r>
  <r>
    <n v="30"/>
    <x v="29"/>
    <s v="Lakshmi"/>
    <x v="4"/>
    <n v="1"/>
    <s v="A"/>
    <n v="92"/>
    <n v="94"/>
    <n v="89"/>
    <n v="91"/>
    <n v="95"/>
    <n v="461"/>
    <n v="92.2"/>
  </r>
  <r>
    <n v="31"/>
    <x v="30"/>
    <s v="Lokesh"/>
    <x v="4"/>
    <n v="1"/>
    <s v="A"/>
    <n v="81"/>
    <n v="76"/>
    <n v="85"/>
    <n v="83"/>
    <n v="80"/>
    <n v="405"/>
    <n v="81"/>
  </r>
  <r>
    <n v="32"/>
    <x v="31"/>
    <s v="Madhan"/>
    <x v="4"/>
    <n v="1"/>
    <s v="A"/>
    <n v="77"/>
    <n v="82"/>
    <n v="79"/>
    <n v="75"/>
    <n v="84"/>
    <n v="397"/>
    <n v="79.400000000000006"/>
  </r>
  <r>
    <n v="33"/>
    <x v="32"/>
    <s v="Mahalakshmi"/>
    <x v="4"/>
    <n v="1"/>
    <s v="B"/>
    <n v="89"/>
    <n v="93"/>
    <n v="91"/>
    <n v="88"/>
    <n v="90"/>
    <n v="451"/>
    <n v="90.2"/>
  </r>
  <r>
    <n v="34"/>
    <x v="33"/>
    <s v="Manikandan"/>
    <x v="4"/>
    <n v="1"/>
    <s v="B"/>
    <n v="71"/>
    <n v="74"/>
    <n v="68"/>
    <n v="72"/>
    <n v="77"/>
    <n v="362"/>
    <n v="72.400000000000006"/>
  </r>
  <r>
    <n v="35"/>
    <x v="34"/>
    <s v="Manoj"/>
    <x v="4"/>
    <n v="1"/>
    <s v="B"/>
    <n v="84"/>
    <n v="80"/>
    <n v="86"/>
    <n v="87"/>
    <n v="82"/>
    <n v="419"/>
    <n v="83.8"/>
  </r>
  <r>
    <n v="36"/>
    <x v="35"/>
    <s v="Meena"/>
    <x v="5"/>
    <n v="1"/>
    <s v="A"/>
    <n v="90"/>
    <n v="88"/>
    <n v="92"/>
    <n v="94"/>
    <n v="91"/>
    <n v="455"/>
    <n v="91"/>
  </r>
  <r>
    <n v="37"/>
    <x v="36"/>
    <s v="Mohamed"/>
    <x v="5"/>
    <n v="1"/>
    <s v="A"/>
    <n v="79"/>
    <n v="83"/>
    <n v="77"/>
    <n v="80"/>
    <n v="85"/>
    <n v="404"/>
    <n v="80.8"/>
  </r>
  <r>
    <n v="38"/>
    <x v="37"/>
    <s v="Monisha"/>
    <x v="5"/>
    <n v="1"/>
    <s v="A"/>
    <n v="86"/>
    <n v="90"/>
    <n v="88"/>
    <n v="84"/>
    <n v="92"/>
    <n v="440"/>
    <n v="88"/>
  </r>
  <r>
    <n v="39"/>
    <x v="38"/>
    <s v="Nandhini"/>
    <x v="5"/>
    <n v="1"/>
    <s v="A"/>
    <n v="93"/>
    <n v="87"/>
    <n v="95"/>
    <n v="91"/>
    <n v="89"/>
    <n v="455"/>
    <n v="91"/>
  </r>
  <r>
    <n v="40"/>
    <x v="39"/>
    <s v="Naveen"/>
    <x v="5"/>
    <n v="1"/>
    <s v="A"/>
    <n v="68"/>
    <n v="73"/>
    <n v="70"/>
    <n v="76"/>
    <n v="74"/>
    <n v="361"/>
    <n v="72.2"/>
  </r>
  <r>
    <n v="41"/>
    <x v="40"/>
    <s v="Nikhil"/>
    <x v="5"/>
    <n v="1"/>
    <s v="B"/>
    <n v="82"/>
    <n v="85"/>
    <n v="80"/>
    <n v="88"/>
    <n v="83"/>
    <n v="418"/>
    <n v="83.6"/>
  </r>
  <r>
    <n v="42"/>
    <x v="41"/>
    <s v="Pavithra"/>
    <x v="5"/>
    <n v="1"/>
    <s v="B"/>
    <n v="91"/>
    <n v="89"/>
    <n v="93"/>
    <n v="90"/>
    <n v="95"/>
    <n v="458"/>
    <n v="91.6"/>
  </r>
  <r>
    <n v="43"/>
    <x v="42"/>
    <s v="Pranav"/>
    <x v="5"/>
    <n v="1"/>
    <s v="B"/>
    <n v="76"/>
    <n v="79"/>
    <n v="82"/>
    <n v="74"/>
    <n v="81"/>
    <n v="392"/>
    <n v="78.400000000000006"/>
  </r>
  <r>
    <n v="44"/>
    <x v="43"/>
    <s v="Priya"/>
    <x v="5"/>
    <n v="1"/>
    <s v="B"/>
    <n v="88"/>
    <n v="92"/>
    <n v="86"/>
    <n v="89"/>
    <n v="91"/>
    <n v="446"/>
    <n v="89.2"/>
  </r>
  <r>
    <n v="45"/>
    <x v="44"/>
    <s v="Rahul"/>
    <x v="5"/>
    <n v="1"/>
    <s v="B"/>
    <n v="73"/>
    <n v="77"/>
    <n v="75"/>
    <n v="80"/>
    <n v="72"/>
    <n v="377"/>
    <n v="75.400000000000006"/>
  </r>
  <r>
    <n v="46"/>
    <x v="45"/>
    <s v="Rakesh"/>
    <x v="0"/>
    <n v="1"/>
    <s v="B"/>
    <n v="85"/>
    <n v="81"/>
    <n v="89"/>
    <n v="84"/>
    <n v="87"/>
    <n v="426"/>
    <n v="85.2"/>
  </r>
  <r>
    <n v="47"/>
    <x v="46"/>
    <s v="Ramya"/>
    <x v="0"/>
    <n v="1"/>
    <s v="B"/>
    <n v="94"/>
    <n v="90"/>
    <n v="92"/>
    <n v="95"/>
    <n v="93"/>
    <n v="464"/>
    <n v="92.8"/>
  </r>
  <r>
    <n v="48"/>
    <x v="47"/>
    <s v="Ranjith"/>
    <x v="0"/>
    <n v="1"/>
    <s v="B"/>
    <n v="78"/>
    <n v="75"/>
    <n v="80"/>
    <n v="82"/>
    <n v="79"/>
    <n v="394"/>
    <n v="78.8"/>
  </r>
  <r>
    <n v="49"/>
    <x v="48"/>
    <s v="Reshma"/>
    <x v="0"/>
    <n v="1"/>
    <s v="B"/>
    <n v="83"/>
    <n v="86"/>
    <n v="84"/>
    <n v="88"/>
    <n v="90"/>
    <n v="431"/>
    <n v="86.2"/>
  </r>
  <r>
    <n v="50"/>
    <x v="49"/>
    <s v="Rohit"/>
    <x v="0"/>
    <n v="1"/>
    <s v="B"/>
    <n v="70"/>
    <n v="72"/>
    <n v="78"/>
    <n v="74"/>
    <n v="76"/>
    <n v="370"/>
    <n v="74"/>
  </r>
  <r>
    <n v="51"/>
    <x v="50"/>
    <s v="Sachin"/>
    <x v="1"/>
    <n v="1"/>
    <s v="B"/>
    <n v="89"/>
    <n v="85"/>
    <n v="91"/>
    <n v="87"/>
    <n v="90"/>
    <n v="442"/>
    <n v="88.4"/>
  </r>
  <r>
    <n v="52"/>
    <x v="51"/>
    <s v="Sakthi"/>
    <x v="1"/>
    <n v="1"/>
    <s v="B"/>
    <n v="81"/>
    <n v="79"/>
    <n v="83"/>
    <n v="85"/>
    <n v="80"/>
    <n v="408"/>
    <n v="81.599999999999994"/>
  </r>
  <r>
    <n v="53"/>
    <x v="52"/>
    <s v="Sanjay"/>
    <x v="1"/>
    <n v="1"/>
    <s v="B"/>
    <n v="92"/>
    <n v="88"/>
    <n v="94"/>
    <n v="90"/>
    <n v="93"/>
    <n v="457"/>
    <n v="91.4"/>
  </r>
  <r>
    <n v="54"/>
    <x v="53"/>
    <s v="Santhosh"/>
    <x v="1"/>
    <n v="1"/>
    <s v="B"/>
    <n v="75"/>
    <n v="81"/>
    <n v="72"/>
    <n v="78"/>
    <n v="74"/>
    <n v="380"/>
    <n v="76"/>
  </r>
  <r>
    <n v="55"/>
    <x v="54"/>
    <s v="Saranya"/>
    <x v="1"/>
    <n v="1"/>
    <s v="B"/>
    <n v="87"/>
    <n v="90"/>
    <n v="85"/>
    <n v="92"/>
    <n v="88"/>
    <n v="442"/>
    <n v="88.4"/>
  </r>
  <r>
    <n v="56"/>
    <x v="55"/>
    <s v="Shalini"/>
    <x v="2"/>
    <n v="1"/>
    <s v="B"/>
    <n v="90"/>
    <n v="93"/>
    <n v="89"/>
    <n v="86"/>
    <n v="91"/>
    <n v="449"/>
    <n v="89.8"/>
  </r>
  <r>
    <n v="57"/>
    <x v="56"/>
    <s v="Shankar"/>
    <x v="2"/>
    <n v="1"/>
    <s v="B"/>
    <n v="67"/>
    <n v="70"/>
    <n v="73"/>
    <n v="69"/>
    <n v="75"/>
    <n v="354"/>
    <n v="70.8"/>
  </r>
  <r>
    <n v="58"/>
    <x v="57"/>
    <s v="Sharmila"/>
    <x v="2"/>
    <n v="1"/>
    <s v="B"/>
    <n v="84"/>
    <n v="88"/>
    <n v="82"/>
    <n v="85"/>
    <n v="87"/>
    <n v="426"/>
    <n v="85.2"/>
  </r>
  <r>
    <n v="59"/>
    <x v="58"/>
    <s v="Shiva"/>
    <x v="2"/>
    <n v="1"/>
    <s v="B"/>
    <n v="79"/>
    <n v="76"/>
    <n v="81"/>
    <n v="77"/>
    <n v="83"/>
    <n v="396"/>
    <n v="79.2"/>
  </r>
  <r>
    <n v="60"/>
    <x v="59"/>
    <s v="Shruthi"/>
    <x v="2"/>
    <n v="1"/>
    <s v="B"/>
    <n v="93"/>
    <n v="91"/>
    <n v="96"/>
    <n v="92"/>
    <n v="94"/>
    <n v="466"/>
    <n v="93.2"/>
  </r>
  <r>
    <n v="61"/>
    <x v="60"/>
    <s v="Siva"/>
    <x v="3"/>
    <n v="1"/>
    <s v="B"/>
    <n v="72"/>
    <n v="78"/>
    <n v="75"/>
    <n v="71"/>
    <n v="80"/>
    <n v="376"/>
    <n v="75.2"/>
  </r>
  <r>
    <n v="62"/>
    <x v="61"/>
    <s v="Sneha"/>
    <x v="3"/>
    <n v="1"/>
    <s v="B"/>
    <n v="88"/>
    <n v="86"/>
    <n v="90"/>
    <n v="89"/>
    <n v="92"/>
    <n v="445"/>
    <n v="89"/>
  </r>
  <r>
    <n v="63"/>
    <x v="62"/>
    <s v="Sriram"/>
    <x v="3"/>
    <n v="1"/>
    <s v="B"/>
    <n v="80"/>
    <n v="84"/>
    <n v="78"/>
    <n v="82"/>
    <n v="85"/>
    <n v="409"/>
    <n v="81.8"/>
  </r>
  <r>
    <n v="64"/>
    <x v="63"/>
    <s v="Surya"/>
    <x v="3"/>
    <n v="1"/>
    <s v="B"/>
    <n v="74"/>
    <n v="71"/>
    <n v="79"/>
    <n v="76"/>
    <n v="73"/>
    <n v="373"/>
    <n v="74.599999999999994"/>
  </r>
  <r>
    <n v="65"/>
    <x v="64"/>
    <s v="Swetha"/>
    <x v="3"/>
    <n v="1"/>
    <s v="B"/>
    <n v="91"/>
    <n v="95"/>
    <n v="90"/>
    <n v="93"/>
    <n v="89"/>
    <n v="458"/>
    <n v="91.6"/>
  </r>
  <r>
    <n v="66"/>
    <x v="65"/>
    <s v="Tamilselvan"/>
    <x v="4"/>
    <n v="1"/>
    <s v="B"/>
    <n v="83"/>
    <n v="80"/>
    <n v="85"/>
    <n v="81"/>
    <n v="87"/>
    <n v="416"/>
    <n v="83.2"/>
  </r>
  <r>
    <n v="67"/>
    <x v="66"/>
    <s v="Tharun"/>
    <x v="4"/>
    <n v="1"/>
    <s v="B"/>
    <n v="77"/>
    <n v="73"/>
    <n v="76"/>
    <n v="79"/>
    <n v="81"/>
    <n v="386"/>
    <n v="77.2"/>
  </r>
  <r>
    <n v="68"/>
    <x v="67"/>
    <s v="Udhaya"/>
    <x v="4"/>
    <n v="1"/>
    <s v="B"/>
    <n v="86"/>
    <n v="89"/>
    <n v="84"/>
    <n v="88"/>
    <n v="90"/>
    <n v="437"/>
    <n v="87.4"/>
  </r>
  <r>
    <n v="69"/>
    <x v="68"/>
    <s v="Vaishnavi"/>
    <x v="4"/>
    <n v="1"/>
    <s v="B"/>
    <n v="95"/>
    <n v="92"/>
    <n v="94"/>
    <n v="96"/>
    <n v="91"/>
    <n v="468"/>
    <n v="93.6"/>
  </r>
  <r>
    <n v="70"/>
    <x v="69"/>
    <s v="Varun"/>
    <x v="4"/>
    <n v="1"/>
    <s v="B"/>
    <n v="69"/>
    <n v="76"/>
    <n v="72"/>
    <n v="75"/>
    <n v="70"/>
    <n v="362"/>
    <n v="72.400000000000006"/>
  </r>
  <r>
    <n v="71"/>
    <x v="70"/>
    <s v="Vignesh"/>
    <x v="5"/>
    <n v="1"/>
    <s v="B"/>
    <n v="82"/>
    <n v="79"/>
    <n v="85"/>
    <n v="80"/>
    <n v="84"/>
    <n v="410"/>
    <n v="82"/>
  </r>
  <r>
    <n v="72"/>
    <x v="71"/>
    <s v="Vishal"/>
    <x v="5"/>
    <n v="1"/>
    <s v="B"/>
    <n v="89"/>
    <n v="87"/>
    <n v="92"/>
    <n v="90"/>
    <n v="88"/>
    <n v="446"/>
    <n v="89.2"/>
  </r>
  <r>
    <n v="73"/>
    <x v="72"/>
    <s v="Yamini"/>
    <x v="5"/>
    <n v="1"/>
    <s v="B"/>
    <n v="93"/>
    <n v="90"/>
    <n v="95"/>
    <n v="92"/>
    <n v="94"/>
    <n v="464"/>
    <n v="92.8"/>
  </r>
  <r>
    <n v="74"/>
    <x v="73"/>
    <s v="Yashwanth"/>
    <x v="5"/>
    <n v="1"/>
    <s v="B"/>
    <n v="78"/>
    <n v="82"/>
    <n v="80"/>
    <n v="76"/>
    <n v="85"/>
    <n v="401"/>
    <n v="80.2"/>
  </r>
  <r>
    <n v="75"/>
    <x v="74"/>
    <s v="Abhishek"/>
    <x v="0"/>
    <n v="1"/>
    <s v="A"/>
    <n v="85"/>
    <n v="88"/>
    <n v="83"/>
    <n v="86"/>
    <n v="90"/>
    <n v="432"/>
    <n v="86.4"/>
  </r>
  <r>
    <n v="76"/>
    <x v="75"/>
    <s v="Aarthi"/>
    <x v="0"/>
    <n v="1"/>
    <s v="A"/>
    <n v="90"/>
    <n v="91"/>
    <n v="87"/>
    <n v="94"/>
    <n v="89"/>
    <n v="451"/>
    <n v="90.2"/>
  </r>
  <r>
    <n v="77"/>
    <x v="76"/>
    <s v="Anirudh"/>
    <x v="1"/>
    <n v="1"/>
    <s v="A"/>
    <n v="73"/>
    <n v="79"/>
    <n v="71"/>
    <n v="77"/>
    <n v="75"/>
    <n v="375"/>
    <n v="75"/>
  </r>
  <r>
    <n v="78"/>
    <x v="77"/>
    <s v="Akshaya"/>
    <x v="1"/>
    <n v="1"/>
    <s v="A"/>
    <n v="87"/>
    <n v="84"/>
    <n v="91"/>
    <n v="88"/>
    <n v="86"/>
    <n v="436"/>
    <n v="87.2"/>
  </r>
  <r>
    <n v="79"/>
    <x v="78"/>
    <s v="Bharath"/>
    <x v="2"/>
    <n v="1"/>
    <s v="A"/>
    <n v="81"/>
    <n v="77"/>
    <n v="84"/>
    <n v="79"/>
    <n v="82"/>
    <n v="403"/>
    <n v="80.599999999999994"/>
  </r>
  <r>
    <n v="80"/>
    <x v="79"/>
    <s v="Chandru"/>
    <x v="2"/>
    <n v="1"/>
    <s v="A"/>
    <n v="68"/>
    <n v="74"/>
    <n v="70"/>
    <n v="72"/>
    <n v="76"/>
    <n v="360"/>
    <n v="72"/>
  </r>
  <r>
    <n v="81"/>
    <x v="80"/>
    <s v="Darshan"/>
    <x v="3"/>
    <n v="1"/>
    <s v="A"/>
    <n v="92"/>
    <n v="89"/>
    <n v="93"/>
    <n v="91"/>
    <n v="95"/>
    <n v="460"/>
    <n v="92"/>
  </r>
  <r>
    <n v="82"/>
    <x v="81"/>
    <s v="Dhanush"/>
    <x v="3"/>
    <n v="1"/>
    <s v="A"/>
    <n v="76"/>
    <n v="80"/>
    <n v="78"/>
    <n v="83"/>
    <n v="81"/>
    <n v="398"/>
    <n v="79.599999999999994"/>
  </r>
  <r>
    <n v="83"/>
    <x v="82"/>
    <s v="Gautham"/>
    <x v="4"/>
    <n v="1"/>
    <s v="A"/>
    <n v="84"/>
    <n v="86"/>
    <n v="82"/>
    <n v="87"/>
    <n v="89"/>
    <n v="428"/>
    <n v="85.6"/>
  </r>
  <r>
    <n v="84"/>
    <x v="83"/>
    <s v="Keerthana"/>
    <x v="4"/>
    <n v="1"/>
    <s v="A"/>
    <n v="94"/>
    <n v="92"/>
    <n v="90"/>
    <n v="95"/>
    <n v="93"/>
    <n v="464"/>
    <n v="92.8"/>
  </r>
  <r>
    <n v="85"/>
    <x v="84"/>
    <s v="Madhumitha"/>
    <x v="4"/>
    <n v="1"/>
    <s v="A"/>
    <n v="89"/>
    <n v="85"/>
    <n v="88"/>
    <n v="91"/>
    <n v="90"/>
    <n v="443"/>
    <n v="88.6"/>
  </r>
  <r>
    <n v="86"/>
    <x v="85"/>
    <s v="Nithin"/>
    <x v="5"/>
    <n v="1"/>
    <s v="A"/>
    <n v="71"/>
    <n v="75"/>
    <n v="73"/>
    <n v="78"/>
    <n v="76"/>
    <n v="373"/>
    <n v="74.599999999999994"/>
  </r>
  <r>
    <n v="87"/>
    <x v="86"/>
    <s v="Pavani"/>
    <x v="5"/>
    <n v="1"/>
    <s v="A"/>
    <n v="86"/>
    <n v="90"/>
    <n v="85"/>
    <n v="87"/>
    <n v="92"/>
    <n v="440"/>
    <n v="88"/>
  </r>
  <r>
    <n v="88"/>
    <x v="87"/>
    <s v="Pradeep"/>
    <x v="5"/>
    <n v="1"/>
    <s v="A"/>
    <n v="80"/>
    <n v="78"/>
    <n v="82"/>
    <n v="84"/>
    <n v="79"/>
    <n v="403"/>
    <n v="80.599999999999994"/>
  </r>
  <r>
    <n v="89"/>
    <x v="88"/>
    <s v="Rithika"/>
    <x v="0"/>
    <n v="1"/>
    <s v="A"/>
    <n v="91"/>
    <n v="94"/>
    <n v="93"/>
    <n v="89"/>
    <n v="95"/>
    <n v="462"/>
    <n v="92.4"/>
  </r>
  <r>
    <n v="90"/>
    <x v="89"/>
    <s v="Sanjana"/>
    <x v="0"/>
    <n v="1"/>
    <s v="A"/>
    <n v="83"/>
    <n v="87"/>
    <n v="85"/>
    <n v="82"/>
    <n v="88"/>
    <n v="425"/>
    <n v="85"/>
  </r>
  <r>
    <n v="91"/>
    <x v="90"/>
    <s v="Saran"/>
    <x v="1"/>
    <n v="1"/>
    <s v="A"/>
    <n v="75"/>
    <n v="72"/>
    <n v="78"/>
    <n v="80"/>
    <n v="74"/>
    <n v="379"/>
    <n v="75.8"/>
  </r>
  <r>
    <n v="92"/>
    <x v="91"/>
    <s v="Sowmya"/>
    <x v="1"/>
    <n v="1"/>
    <s v="A"/>
    <n v="88"/>
    <n v="90"/>
    <n v="92"/>
    <n v="86"/>
    <n v="91"/>
    <n v="447"/>
    <n v="89.4"/>
  </r>
  <r>
    <n v="93"/>
    <x v="92"/>
    <s v="Surendran"/>
    <x v="2"/>
    <n v="1"/>
    <s v="A"/>
    <n v="79"/>
    <n v="83"/>
    <n v="77"/>
    <n v="81"/>
    <n v="80"/>
    <n v="400"/>
    <n v="80"/>
  </r>
  <r>
    <n v="94"/>
    <x v="93"/>
    <s v="Varsha"/>
    <x v="2"/>
    <n v="1"/>
    <s v="A"/>
    <n v="93"/>
    <n v="95"/>
    <n v="90"/>
    <n v="92"/>
    <n v="94"/>
    <n v="464"/>
    <n v="92.8"/>
  </r>
  <r>
    <n v="95"/>
    <x v="94"/>
    <s v="Vikram"/>
    <x v="3"/>
    <n v="1"/>
    <s v="A"/>
    <n v="70"/>
    <n v="76"/>
    <n v="74"/>
    <n v="72"/>
    <n v="78"/>
    <n v="370"/>
    <n v="74"/>
  </r>
  <r>
    <n v="96"/>
    <x v="95"/>
    <s v="Abinav"/>
    <x v="3"/>
    <n v="1"/>
    <s v="A"/>
    <n v="85"/>
    <n v="82"/>
    <n v="87"/>
    <n v="89"/>
    <n v="84"/>
    <n v="427"/>
    <n v="85.4"/>
  </r>
  <r>
    <n v="97"/>
    <x v="96"/>
    <s v="Haritha"/>
    <x v="4"/>
    <n v="1"/>
    <s v="A"/>
    <n v="90"/>
    <n v="88"/>
    <n v="91"/>
    <n v="93"/>
    <n v="89"/>
    <n v="451"/>
    <n v="90.2"/>
  </r>
  <r>
    <n v="98"/>
    <x v="97"/>
    <s v="Kavin"/>
    <x v="4"/>
    <n v="1"/>
    <s v="A"/>
    <n v="77"/>
    <n v="81"/>
    <n v="79"/>
    <n v="75"/>
    <n v="83"/>
    <n v="395"/>
    <n v="79"/>
  </r>
  <r>
    <n v="99"/>
    <x v="98"/>
    <s v="Monish"/>
    <x v="5"/>
    <n v="1"/>
    <s v="A"/>
    <n v="82"/>
    <n v="85"/>
    <n v="80"/>
    <n v="84"/>
    <n v="87"/>
    <n v="418"/>
    <n v="83.6"/>
  </r>
  <r>
    <n v="100"/>
    <x v="99"/>
    <s v="Nivedha"/>
    <x v="5"/>
    <n v="1"/>
    <s v="A"/>
    <n v="95"/>
    <n v="93"/>
    <n v="96"/>
    <n v="94"/>
    <n v="92"/>
    <n v="470"/>
    <n v="9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F97B45-A120-44C8-B381-D0714543BE44}" name="PivotTable4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03ED1A-431D-48B2-BDA7-2218B7CC2E4B}" name="PivotTable1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5">
  <location ref="BN3:BO10" firstHeaderRow="1" firstDataRow="1" firstDataCol="1"/>
  <pivotFields count="13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7">
        <item sd="0" x="0"/>
        <item sd="0" x="1"/>
        <item sd="0" x="3"/>
        <item sd="0" x="4"/>
        <item sd="0" x="2"/>
        <item sd="0" x="5"/>
        <item t="default" sd="0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BMS" fld="10" baseField="0" baseItem="0"/>
  </dataFields>
  <chartFormats count="4">
    <chartFormat chart="2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EC039D-BC1B-4A7A-A1C6-DB1E2E08744B}" name="PivotTable10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1">
  <location ref="BC3:BD10" firstHeaderRow="1" firstDataRow="1" firstDataCol="1"/>
  <pivotFields count="13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7">
        <item sd="0" x="0"/>
        <item sd="0" x="1"/>
        <item sd="0" x="3"/>
        <item sd="0" x="4"/>
        <item sd="0" x="2"/>
        <item sd="0" x="5"/>
        <item t="default" sd="0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DS" fld="9" baseField="0" baseItem="0"/>
  </dataFields>
  <chartFormats count="4"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30890F-0766-4FF5-B81E-6DB18928BAF3}" name="PivotTable9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R3:AS10" firstHeaderRow="1" firstDataRow="1" firstDataCol="1"/>
  <pivotFields count="13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7">
        <item sd="0" x="0"/>
        <item sd="0" x="1"/>
        <item sd="0" x="3"/>
        <item sd="0" x="4"/>
        <item sd="0" x="2"/>
        <item sd="0" x="5"/>
        <item t="default" sd="0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Maths" fld="8" baseField="0" baseItem="0"/>
  </dataFields>
  <chartFormats count="4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63F378-4637-4186-8DF7-E19B5174714A}" name="PivotTable8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E3:AF10" firstHeaderRow="1" firstDataRow="1" firstDataCol="1"/>
  <pivotFields count="13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7">
        <item sd="0" x="0"/>
        <item sd="0" x="1"/>
        <item sd="0" x="3"/>
        <item sd="0" x="4"/>
        <item sd="0" x="2"/>
        <item sd="0" x="5"/>
        <item t="default" sd="0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C++" fld="7" baseField="0" baseItem="0"/>
  </dataFields>
  <chartFormats count="4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8DF544-8EA5-409F-B4EC-303A62D0E1EE}" name="PivotTable7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S3:T10" firstHeaderRow="1" firstDataRow="1" firstDataCol="1"/>
  <pivotFields count="13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7">
        <item sd="0" x="0"/>
        <item sd="0" x="1"/>
        <item sd="0" x="3"/>
        <item sd="0" x="4"/>
        <item sd="0" x="2"/>
        <item sd="0" x="5"/>
        <item t="default" sd="0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Python" fld="6" baseField="0" baseItem="0"/>
  </dataFields>
  <chartFormats count="4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A08F03-0A04-4BD1-AA45-37481D584AD0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C3:D10" firstHeaderRow="1" firstDataRow="1" firstDataCol="1"/>
  <pivotFields count="13">
    <pivotField showAll="0"/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/>
    <pivotField axis="axisRow" showAll="0">
      <items count="7">
        <item sd="0" x="0"/>
        <item sd="0" x="1"/>
        <item sd="0" x="3"/>
        <item sd="0" x="4"/>
        <item sd="0" x="2"/>
        <item sd="0" x="5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Total" fld="11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BE076-4E7C-49F4-AAD4-DE250CB8601A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6"/>
      <c r="B3" s="7"/>
      <c r="C3" s="8"/>
    </row>
    <row r="4" spans="1:3" x14ac:dyDescent="0.3">
      <c r="A4" s="9"/>
      <c r="B4" s="10"/>
      <c r="C4" s="11"/>
    </row>
    <row r="5" spans="1:3" x14ac:dyDescent="0.3">
      <c r="A5" s="9"/>
      <c r="B5" s="10"/>
      <c r="C5" s="11"/>
    </row>
    <row r="6" spans="1:3" x14ac:dyDescent="0.3">
      <c r="A6" s="9"/>
      <c r="B6" s="10"/>
      <c r="C6" s="11"/>
    </row>
    <row r="7" spans="1:3" x14ac:dyDescent="0.3">
      <c r="A7" s="9"/>
      <c r="B7" s="10"/>
      <c r="C7" s="11"/>
    </row>
    <row r="8" spans="1:3" x14ac:dyDescent="0.3">
      <c r="A8" s="9"/>
      <c r="B8" s="10"/>
      <c r="C8" s="11"/>
    </row>
    <row r="9" spans="1:3" x14ac:dyDescent="0.3">
      <c r="A9" s="9"/>
      <c r="B9" s="10"/>
      <c r="C9" s="11"/>
    </row>
    <row r="10" spans="1:3" x14ac:dyDescent="0.3">
      <c r="A10" s="9"/>
      <c r="B10" s="10"/>
      <c r="C10" s="11"/>
    </row>
    <row r="11" spans="1:3" x14ac:dyDescent="0.3">
      <c r="A11" s="9"/>
      <c r="B11" s="10"/>
      <c r="C11" s="11"/>
    </row>
    <row r="12" spans="1:3" x14ac:dyDescent="0.3">
      <c r="A12" s="9"/>
      <c r="B12" s="10"/>
      <c r="C12" s="11"/>
    </row>
    <row r="13" spans="1:3" x14ac:dyDescent="0.3">
      <c r="A13" s="9"/>
      <c r="B13" s="10"/>
      <c r="C13" s="11"/>
    </row>
    <row r="14" spans="1:3" x14ac:dyDescent="0.3">
      <c r="A14" s="9"/>
      <c r="B14" s="10"/>
      <c r="C14" s="11"/>
    </row>
    <row r="15" spans="1:3" x14ac:dyDescent="0.3">
      <c r="A15" s="9"/>
      <c r="B15" s="10"/>
      <c r="C15" s="11"/>
    </row>
    <row r="16" spans="1:3" x14ac:dyDescent="0.3">
      <c r="A16" s="9"/>
      <c r="B16" s="10"/>
      <c r="C16" s="11"/>
    </row>
    <row r="17" spans="1:3" x14ac:dyDescent="0.3">
      <c r="A17" s="9"/>
      <c r="B17" s="10"/>
      <c r="C17" s="11"/>
    </row>
    <row r="18" spans="1:3" x14ac:dyDescent="0.3">
      <c r="A18" s="9"/>
      <c r="B18" s="10"/>
      <c r="C18" s="11"/>
    </row>
    <row r="19" spans="1:3" x14ac:dyDescent="0.3">
      <c r="A19" s="9"/>
      <c r="B19" s="10"/>
      <c r="C19" s="11"/>
    </row>
    <row r="20" spans="1:3" x14ac:dyDescent="0.3">
      <c r="A20" s="12"/>
      <c r="B20" s="13"/>
      <c r="C20" s="1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88FF1-3851-43E6-AB0C-5FF324B010B5}">
  <dimension ref="C3:BO10"/>
  <sheetViews>
    <sheetView tabSelected="1" zoomScale="17" workbookViewId="0">
      <selection activeCell="BQ47" sqref="BQ47"/>
    </sheetView>
  </sheetViews>
  <sheetFormatPr defaultRowHeight="14.4" x14ac:dyDescent="0.3"/>
  <cols>
    <col min="1" max="1" width="12.44140625" bestFit="1" customWidth="1"/>
    <col min="2" max="2" width="11.109375" bestFit="1" customWidth="1"/>
    <col min="3" max="3" width="19.44140625" bestFit="1" customWidth="1"/>
    <col min="4" max="4" width="16" bestFit="1" customWidth="1"/>
    <col min="19" max="19" width="19.44140625" bestFit="1" customWidth="1"/>
    <col min="20" max="21" width="18" bestFit="1" customWidth="1"/>
    <col min="31" max="31" width="19.44140625" bestFit="1" customWidth="1"/>
    <col min="32" max="32" width="14.33203125" bestFit="1" customWidth="1"/>
    <col min="44" max="44" width="18" bestFit="1" customWidth="1"/>
    <col min="45" max="46" width="17.21875" bestFit="1" customWidth="1"/>
    <col min="55" max="55" width="14.33203125" bestFit="1" customWidth="1"/>
    <col min="56" max="57" width="9.88671875" bestFit="1" customWidth="1"/>
    <col min="66" max="66" width="19.21875" bestFit="1" customWidth="1"/>
    <col min="67" max="68" width="17.5546875" bestFit="1" customWidth="1"/>
  </cols>
  <sheetData>
    <row r="3" spans="3:67" x14ac:dyDescent="0.3">
      <c r="C3" s="15" t="s">
        <v>222</v>
      </c>
      <c r="D3" t="s">
        <v>221</v>
      </c>
      <c r="S3" s="15" t="s">
        <v>222</v>
      </c>
      <c r="T3" t="s">
        <v>224</v>
      </c>
      <c r="AE3" s="15" t="s">
        <v>222</v>
      </c>
      <c r="AF3" t="s">
        <v>225</v>
      </c>
      <c r="AR3" s="15" t="s">
        <v>222</v>
      </c>
      <c r="AS3" t="s">
        <v>226</v>
      </c>
      <c r="BC3" s="15" t="s">
        <v>222</v>
      </c>
      <c r="BD3" t="s">
        <v>227</v>
      </c>
      <c r="BN3" s="15" t="s">
        <v>222</v>
      </c>
      <c r="BO3" t="s">
        <v>228</v>
      </c>
    </row>
    <row r="4" spans="3:67" x14ac:dyDescent="0.3">
      <c r="C4" s="16" t="s">
        <v>213</v>
      </c>
      <c r="D4" s="17">
        <v>5959</v>
      </c>
      <c r="S4" s="16" t="s">
        <v>213</v>
      </c>
      <c r="T4" s="17">
        <v>1168</v>
      </c>
      <c r="AE4" s="16" t="s">
        <v>213</v>
      </c>
      <c r="AF4" s="17">
        <v>1182</v>
      </c>
      <c r="AR4" s="16" t="s">
        <v>213</v>
      </c>
      <c r="AS4" s="17">
        <v>1199</v>
      </c>
      <c r="BC4" s="16" t="s">
        <v>213</v>
      </c>
      <c r="BD4" s="17">
        <v>1186</v>
      </c>
      <c r="BN4" s="16" t="s">
        <v>213</v>
      </c>
      <c r="BO4" s="17">
        <v>1224</v>
      </c>
    </row>
    <row r="5" spans="3:67" x14ac:dyDescent="0.3">
      <c r="C5" s="16" t="s">
        <v>215</v>
      </c>
      <c r="D5" s="17">
        <v>7110</v>
      </c>
      <c r="S5" s="16" t="s">
        <v>215</v>
      </c>
      <c r="T5" s="17">
        <v>1416</v>
      </c>
      <c r="AE5" s="16" t="s">
        <v>215</v>
      </c>
      <c r="AF5" s="17">
        <v>1405</v>
      </c>
      <c r="AR5" s="16" t="s">
        <v>215</v>
      </c>
      <c r="AS5" s="17">
        <v>1435</v>
      </c>
      <c r="BC5" s="16" t="s">
        <v>215</v>
      </c>
      <c r="BD5" s="17">
        <v>1433</v>
      </c>
      <c r="BN5" s="16" t="s">
        <v>215</v>
      </c>
      <c r="BO5" s="17">
        <v>1421</v>
      </c>
    </row>
    <row r="6" spans="3:67" x14ac:dyDescent="0.3">
      <c r="C6" s="16" t="s">
        <v>218</v>
      </c>
      <c r="D6" s="17">
        <v>6628</v>
      </c>
      <c r="S6" s="16" t="s">
        <v>218</v>
      </c>
      <c r="T6" s="17">
        <v>1307</v>
      </c>
      <c r="AE6" s="16" t="s">
        <v>218</v>
      </c>
      <c r="AF6" s="17">
        <v>1319</v>
      </c>
      <c r="AR6" s="16" t="s">
        <v>218</v>
      </c>
      <c r="AS6" s="17">
        <v>1335</v>
      </c>
      <c r="BC6" s="16" t="s">
        <v>218</v>
      </c>
      <c r="BD6" s="17">
        <v>1332</v>
      </c>
      <c r="BN6" s="16" t="s">
        <v>218</v>
      </c>
      <c r="BO6" s="17">
        <v>1335</v>
      </c>
    </row>
    <row r="7" spans="3:67" x14ac:dyDescent="0.3">
      <c r="C7" s="16" t="s">
        <v>219</v>
      </c>
      <c r="D7" s="17">
        <v>7117</v>
      </c>
      <c r="S7" s="16" t="s">
        <v>219</v>
      </c>
      <c r="T7" s="17">
        <v>1412</v>
      </c>
      <c r="AE7" s="16" t="s">
        <v>219</v>
      </c>
      <c r="AF7" s="17">
        <v>1411</v>
      </c>
      <c r="AR7" s="16" t="s">
        <v>219</v>
      </c>
      <c r="AS7" s="17">
        <v>1415</v>
      </c>
      <c r="BC7" s="16" t="s">
        <v>219</v>
      </c>
      <c r="BD7" s="17">
        <v>1435</v>
      </c>
      <c r="BN7" s="16" t="s">
        <v>219</v>
      </c>
      <c r="BO7" s="17">
        <v>1444</v>
      </c>
    </row>
    <row r="8" spans="3:67" x14ac:dyDescent="0.3">
      <c r="C8" s="16" t="s">
        <v>217</v>
      </c>
      <c r="D8" s="17">
        <v>7029</v>
      </c>
      <c r="S8" s="16" t="s">
        <v>217</v>
      </c>
      <c r="T8" s="17">
        <v>1388</v>
      </c>
      <c r="AE8" s="16" t="s">
        <v>217</v>
      </c>
      <c r="AF8" s="17">
        <v>1411</v>
      </c>
      <c r="AR8" s="16" t="s">
        <v>217</v>
      </c>
      <c r="AS8" s="17">
        <v>1400</v>
      </c>
      <c r="BC8" s="16" t="s">
        <v>217</v>
      </c>
      <c r="BD8" s="17">
        <v>1399</v>
      </c>
      <c r="BN8" s="16" t="s">
        <v>217</v>
      </c>
      <c r="BO8" s="17">
        <v>1431</v>
      </c>
    </row>
    <row r="9" spans="3:67" x14ac:dyDescent="0.3">
      <c r="C9" s="16" t="s">
        <v>220</v>
      </c>
      <c r="D9" s="17">
        <v>8031</v>
      </c>
      <c r="S9" s="16" t="s">
        <v>220</v>
      </c>
      <c r="T9" s="17">
        <v>1582</v>
      </c>
      <c r="AE9" s="16" t="s">
        <v>220</v>
      </c>
      <c r="AF9" s="17">
        <v>1602</v>
      </c>
      <c r="AR9" s="16" t="s">
        <v>220</v>
      </c>
      <c r="AS9" s="17">
        <v>1606</v>
      </c>
      <c r="BC9" s="16" t="s">
        <v>220</v>
      </c>
      <c r="BD9" s="17">
        <v>1611</v>
      </c>
      <c r="BN9" s="16" t="s">
        <v>220</v>
      </c>
      <c r="BO9" s="17">
        <v>1630</v>
      </c>
    </row>
    <row r="10" spans="3:67" x14ac:dyDescent="0.3">
      <c r="C10" s="16" t="s">
        <v>223</v>
      </c>
      <c r="D10" s="17">
        <v>41874</v>
      </c>
      <c r="S10" s="16" t="s">
        <v>223</v>
      </c>
      <c r="T10" s="17">
        <v>8273</v>
      </c>
      <c r="AE10" s="16" t="s">
        <v>223</v>
      </c>
      <c r="AF10" s="17">
        <v>8330</v>
      </c>
      <c r="AR10" s="16" t="s">
        <v>223</v>
      </c>
      <c r="AS10" s="17">
        <v>8390</v>
      </c>
      <c r="BC10" s="16" t="s">
        <v>223</v>
      </c>
      <c r="BD10" s="17">
        <v>8396</v>
      </c>
      <c r="BN10" s="16" t="s">
        <v>223</v>
      </c>
      <c r="BO10" s="17">
        <v>8485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5B2D4-7E6D-4807-A69C-F09E1F53FE5E}">
  <dimension ref="A1:M101"/>
  <sheetViews>
    <sheetView topLeftCell="B1" workbookViewId="0">
      <selection activeCell="N2" sqref="N2"/>
    </sheetView>
  </sheetViews>
  <sheetFormatPr defaultRowHeight="14.4" x14ac:dyDescent="0.3"/>
  <sheetData>
    <row r="1" spans="1:13" ht="28.8" x14ac:dyDescent="0.3">
      <c r="A1" s="2" t="s">
        <v>0</v>
      </c>
      <c r="B1" s="4" t="s">
        <v>1</v>
      </c>
      <c r="C1" s="4" t="s">
        <v>2</v>
      </c>
      <c r="D1" s="4" t="s">
        <v>210</v>
      </c>
      <c r="E1" s="2" t="s">
        <v>211</v>
      </c>
      <c r="F1" s="4" t="s">
        <v>212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</row>
    <row r="2" spans="1:13" x14ac:dyDescent="0.3">
      <c r="A2" s="1">
        <v>1</v>
      </c>
      <c r="B2" s="5" t="s">
        <v>10</v>
      </c>
      <c r="C2" s="5" t="s">
        <v>11</v>
      </c>
      <c r="D2" s="5" t="s">
        <v>213</v>
      </c>
      <c r="E2" s="1">
        <v>1</v>
      </c>
      <c r="F2" s="3" t="s">
        <v>214</v>
      </c>
      <c r="G2" s="1">
        <v>88</v>
      </c>
      <c r="H2" s="1">
        <v>82</v>
      </c>
      <c r="I2" s="1">
        <v>91</v>
      </c>
      <c r="J2" s="1">
        <v>85</v>
      </c>
      <c r="K2" s="1">
        <v>89</v>
      </c>
      <c r="L2" s="1">
        <f>SUM(G2:K2)</f>
        <v>435</v>
      </c>
      <c r="M2" s="1">
        <f>AVERAGE(G2:K2)</f>
        <v>87</v>
      </c>
    </row>
    <row r="3" spans="1:13" x14ac:dyDescent="0.3">
      <c r="A3" s="1">
        <v>2</v>
      </c>
      <c r="B3" s="5" t="s">
        <v>12</v>
      </c>
      <c r="C3" s="5" t="s">
        <v>13</v>
      </c>
      <c r="D3" s="5" t="s">
        <v>213</v>
      </c>
      <c r="E3" s="1">
        <v>1</v>
      </c>
      <c r="F3" s="3" t="s">
        <v>214</v>
      </c>
      <c r="G3" s="1">
        <v>76</v>
      </c>
      <c r="H3" s="1">
        <v>84</v>
      </c>
      <c r="I3" s="1">
        <v>79</v>
      </c>
      <c r="J3" s="1">
        <v>81</v>
      </c>
      <c r="K3" s="1">
        <v>86</v>
      </c>
      <c r="L3" s="1">
        <f t="shared" ref="L3:L66" si="0">SUM(G3:K3)</f>
        <v>406</v>
      </c>
      <c r="M3" s="1">
        <f t="shared" ref="M3:M66" si="1">AVERAGE(G3:K3)</f>
        <v>81.2</v>
      </c>
    </row>
    <row r="4" spans="1:13" x14ac:dyDescent="0.3">
      <c r="A4" s="1">
        <v>3</v>
      </c>
      <c r="B4" s="5" t="s">
        <v>14</v>
      </c>
      <c r="C4" s="5" t="s">
        <v>15</v>
      </c>
      <c r="D4" s="5" t="s">
        <v>213</v>
      </c>
      <c r="E4" s="1">
        <v>1</v>
      </c>
      <c r="F4" s="3" t="s">
        <v>214</v>
      </c>
      <c r="G4" s="1">
        <v>92</v>
      </c>
      <c r="H4" s="1">
        <v>89</v>
      </c>
      <c r="I4" s="1">
        <v>95</v>
      </c>
      <c r="J4" s="1">
        <v>90</v>
      </c>
      <c r="K4" s="1">
        <v>94</v>
      </c>
      <c r="L4" s="1">
        <f t="shared" si="0"/>
        <v>460</v>
      </c>
      <c r="M4" s="1">
        <f t="shared" si="1"/>
        <v>92</v>
      </c>
    </row>
    <row r="5" spans="1:13" x14ac:dyDescent="0.3">
      <c r="A5" s="1">
        <v>4</v>
      </c>
      <c r="B5" s="5" t="s">
        <v>16</v>
      </c>
      <c r="C5" s="5" t="s">
        <v>17</v>
      </c>
      <c r="D5" s="5" t="s">
        <v>213</v>
      </c>
      <c r="E5" s="1">
        <v>1</v>
      </c>
      <c r="F5" s="3" t="s">
        <v>214</v>
      </c>
      <c r="G5" s="1">
        <v>68</v>
      </c>
      <c r="H5" s="1">
        <v>72</v>
      </c>
      <c r="I5" s="1">
        <v>75</v>
      </c>
      <c r="J5" s="1">
        <v>70</v>
      </c>
      <c r="K5" s="1">
        <v>78</v>
      </c>
      <c r="L5" s="1">
        <f t="shared" si="0"/>
        <v>363</v>
      </c>
      <c r="M5" s="1">
        <f t="shared" si="1"/>
        <v>72.599999999999994</v>
      </c>
    </row>
    <row r="6" spans="1:13" x14ac:dyDescent="0.3">
      <c r="A6" s="1">
        <v>5</v>
      </c>
      <c r="B6" s="5" t="s">
        <v>18</v>
      </c>
      <c r="C6" s="5" t="s">
        <v>19</v>
      </c>
      <c r="D6" s="5" t="s">
        <v>213</v>
      </c>
      <c r="E6" s="1">
        <v>1</v>
      </c>
      <c r="F6" s="3" t="s">
        <v>214</v>
      </c>
      <c r="G6" s="1">
        <v>85</v>
      </c>
      <c r="H6" s="1">
        <v>91</v>
      </c>
      <c r="I6" s="1">
        <v>88</v>
      </c>
      <c r="J6" s="1">
        <v>86</v>
      </c>
      <c r="K6" s="1">
        <v>90</v>
      </c>
      <c r="L6" s="1">
        <f t="shared" si="0"/>
        <v>440</v>
      </c>
      <c r="M6" s="1">
        <f t="shared" si="1"/>
        <v>88</v>
      </c>
    </row>
    <row r="7" spans="1:13" x14ac:dyDescent="0.3">
      <c r="A7" s="1">
        <v>6</v>
      </c>
      <c r="B7" s="5" t="s">
        <v>20</v>
      </c>
      <c r="C7" s="5" t="s">
        <v>21</v>
      </c>
      <c r="D7" s="5" t="s">
        <v>215</v>
      </c>
      <c r="E7" s="1">
        <v>1</v>
      </c>
      <c r="F7" s="3" t="s">
        <v>214</v>
      </c>
      <c r="G7" s="1">
        <v>79</v>
      </c>
      <c r="H7" s="1">
        <v>77</v>
      </c>
      <c r="I7" s="1">
        <v>82</v>
      </c>
      <c r="J7" s="1">
        <v>80</v>
      </c>
      <c r="K7" s="1">
        <v>75</v>
      </c>
      <c r="L7" s="1">
        <f t="shared" si="0"/>
        <v>393</v>
      </c>
      <c r="M7" s="1">
        <f t="shared" si="1"/>
        <v>78.599999999999994</v>
      </c>
    </row>
    <row r="8" spans="1:13" x14ac:dyDescent="0.3">
      <c r="A8" s="1">
        <v>7</v>
      </c>
      <c r="B8" s="5" t="s">
        <v>22</v>
      </c>
      <c r="C8" s="5" t="s">
        <v>23</v>
      </c>
      <c r="D8" s="5" t="s">
        <v>215</v>
      </c>
      <c r="E8" s="1">
        <v>1</v>
      </c>
      <c r="F8" s="3" t="s">
        <v>214</v>
      </c>
      <c r="G8" s="1">
        <v>94</v>
      </c>
      <c r="H8" s="1">
        <v>92</v>
      </c>
      <c r="I8" s="1">
        <v>89</v>
      </c>
      <c r="J8" s="1">
        <v>95</v>
      </c>
      <c r="K8" s="1">
        <v>91</v>
      </c>
      <c r="L8" s="1">
        <f t="shared" si="0"/>
        <v>461</v>
      </c>
      <c r="M8" s="1">
        <f t="shared" si="1"/>
        <v>92.2</v>
      </c>
    </row>
    <row r="9" spans="1:13" ht="28.8" x14ac:dyDescent="0.3">
      <c r="A9" s="1">
        <v>8</v>
      </c>
      <c r="B9" s="5" t="s">
        <v>24</v>
      </c>
      <c r="C9" s="5" t="s">
        <v>25</v>
      </c>
      <c r="D9" s="5" t="s">
        <v>215</v>
      </c>
      <c r="E9" s="1">
        <v>1</v>
      </c>
      <c r="F9" s="3" t="s">
        <v>214</v>
      </c>
      <c r="G9" s="1">
        <v>81</v>
      </c>
      <c r="H9" s="1">
        <v>85</v>
      </c>
      <c r="I9" s="1">
        <v>84</v>
      </c>
      <c r="J9" s="1">
        <v>79</v>
      </c>
      <c r="K9" s="1">
        <v>88</v>
      </c>
      <c r="L9" s="1">
        <f t="shared" si="0"/>
        <v>417</v>
      </c>
      <c r="M9" s="1">
        <f t="shared" si="1"/>
        <v>83.4</v>
      </c>
    </row>
    <row r="10" spans="1:13" x14ac:dyDescent="0.3">
      <c r="A10" s="1">
        <v>9</v>
      </c>
      <c r="B10" s="5" t="s">
        <v>26</v>
      </c>
      <c r="C10" s="5" t="s">
        <v>27</v>
      </c>
      <c r="D10" s="5" t="s">
        <v>215</v>
      </c>
      <c r="E10" s="1">
        <v>1</v>
      </c>
      <c r="F10" s="3" t="s">
        <v>214</v>
      </c>
      <c r="G10" s="1">
        <v>73</v>
      </c>
      <c r="H10" s="1">
        <v>69</v>
      </c>
      <c r="I10" s="1">
        <v>77</v>
      </c>
      <c r="J10" s="1">
        <v>75</v>
      </c>
      <c r="K10" s="1">
        <v>72</v>
      </c>
      <c r="L10" s="1">
        <f t="shared" si="0"/>
        <v>366</v>
      </c>
      <c r="M10" s="1">
        <f t="shared" si="1"/>
        <v>73.2</v>
      </c>
    </row>
    <row r="11" spans="1:13" x14ac:dyDescent="0.3">
      <c r="A11" s="1">
        <v>10</v>
      </c>
      <c r="B11" s="5" t="s">
        <v>28</v>
      </c>
      <c r="C11" s="5" t="s">
        <v>29</v>
      </c>
      <c r="D11" s="5" t="s">
        <v>215</v>
      </c>
      <c r="E11" s="1">
        <v>1</v>
      </c>
      <c r="F11" s="3" t="s">
        <v>214</v>
      </c>
      <c r="G11" s="1">
        <v>89</v>
      </c>
      <c r="H11" s="1">
        <v>87</v>
      </c>
      <c r="I11" s="1">
        <v>93</v>
      </c>
      <c r="J11" s="1">
        <v>90</v>
      </c>
      <c r="K11" s="1">
        <v>85</v>
      </c>
      <c r="L11" s="1">
        <f t="shared" si="0"/>
        <v>444</v>
      </c>
      <c r="M11" s="1">
        <f t="shared" si="1"/>
        <v>88.8</v>
      </c>
    </row>
    <row r="12" spans="1:13" x14ac:dyDescent="0.3">
      <c r="A12" s="1">
        <v>11</v>
      </c>
      <c r="B12" s="5" t="s">
        <v>30</v>
      </c>
      <c r="C12" s="5" t="s">
        <v>31</v>
      </c>
      <c r="D12" s="5" t="s">
        <v>215</v>
      </c>
      <c r="E12" s="1">
        <v>1</v>
      </c>
      <c r="F12" s="3" t="s">
        <v>216</v>
      </c>
      <c r="G12" s="1">
        <v>78</v>
      </c>
      <c r="H12" s="1">
        <v>80</v>
      </c>
      <c r="I12" s="1">
        <v>76</v>
      </c>
      <c r="J12" s="1">
        <v>83</v>
      </c>
      <c r="K12" s="1">
        <v>81</v>
      </c>
      <c r="L12" s="1">
        <f t="shared" si="0"/>
        <v>398</v>
      </c>
      <c r="M12" s="1">
        <f t="shared" si="1"/>
        <v>79.599999999999994</v>
      </c>
    </row>
    <row r="13" spans="1:13" x14ac:dyDescent="0.3">
      <c r="A13" s="1">
        <v>12</v>
      </c>
      <c r="B13" s="5" t="s">
        <v>32</v>
      </c>
      <c r="C13" s="5" t="s">
        <v>33</v>
      </c>
      <c r="D13" s="5" t="s">
        <v>215</v>
      </c>
      <c r="E13" s="1">
        <v>1</v>
      </c>
      <c r="F13" s="3" t="s">
        <v>216</v>
      </c>
      <c r="G13" s="1">
        <v>91</v>
      </c>
      <c r="H13" s="1">
        <v>88</v>
      </c>
      <c r="I13" s="1">
        <v>90</v>
      </c>
      <c r="J13" s="1">
        <v>86</v>
      </c>
      <c r="K13" s="1">
        <v>93</v>
      </c>
      <c r="L13" s="1">
        <f t="shared" si="0"/>
        <v>448</v>
      </c>
      <c r="M13" s="1">
        <f t="shared" si="1"/>
        <v>89.6</v>
      </c>
    </row>
    <row r="14" spans="1:13" x14ac:dyDescent="0.3">
      <c r="A14" s="1">
        <v>13</v>
      </c>
      <c r="B14" s="5" t="s">
        <v>34</v>
      </c>
      <c r="C14" s="5" t="s">
        <v>35</v>
      </c>
      <c r="D14" s="5" t="s">
        <v>215</v>
      </c>
      <c r="E14" s="1">
        <v>1</v>
      </c>
      <c r="F14" s="3" t="s">
        <v>216</v>
      </c>
      <c r="G14" s="1">
        <v>84</v>
      </c>
      <c r="H14" s="1">
        <v>79</v>
      </c>
      <c r="I14" s="1">
        <v>87</v>
      </c>
      <c r="J14" s="1">
        <v>82</v>
      </c>
      <c r="K14" s="1">
        <v>85</v>
      </c>
      <c r="L14" s="1">
        <f t="shared" si="0"/>
        <v>417</v>
      </c>
      <c r="M14" s="1">
        <f t="shared" si="1"/>
        <v>83.4</v>
      </c>
    </row>
    <row r="15" spans="1:13" x14ac:dyDescent="0.3">
      <c r="A15" s="1">
        <v>14</v>
      </c>
      <c r="B15" s="5" t="s">
        <v>36</v>
      </c>
      <c r="C15" s="5" t="s">
        <v>37</v>
      </c>
      <c r="D15" s="5" t="s">
        <v>217</v>
      </c>
      <c r="E15" s="1">
        <v>1</v>
      </c>
      <c r="F15" s="3" t="s">
        <v>214</v>
      </c>
      <c r="G15" s="1">
        <v>65</v>
      </c>
      <c r="H15" s="1">
        <v>71</v>
      </c>
      <c r="I15" s="1">
        <v>69</v>
      </c>
      <c r="J15" s="1">
        <v>74</v>
      </c>
      <c r="K15" s="1">
        <v>70</v>
      </c>
      <c r="L15" s="1">
        <f t="shared" si="0"/>
        <v>349</v>
      </c>
      <c r="M15" s="1">
        <f t="shared" si="1"/>
        <v>69.8</v>
      </c>
    </row>
    <row r="16" spans="1:13" x14ac:dyDescent="0.3">
      <c r="A16" s="1">
        <v>15</v>
      </c>
      <c r="B16" s="5" t="s">
        <v>38</v>
      </c>
      <c r="C16" s="5" t="s">
        <v>39</v>
      </c>
      <c r="D16" s="5" t="s">
        <v>217</v>
      </c>
      <c r="E16" s="1">
        <v>1</v>
      </c>
      <c r="F16" s="3" t="s">
        <v>214</v>
      </c>
      <c r="G16" s="1">
        <v>93</v>
      </c>
      <c r="H16" s="1">
        <v>95</v>
      </c>
      <c r="I16" s="1">
        <v>91</v>
      </c>
      <c r="J16" s="1">
        <v>89</v>
      </c>
      <c r="K16" s="1">
        <v>94</v>
      </c>
      <c r="L16" s="1">
        <f t="shared" si="0"/>
        <v>462</v>
      </c>
      <c r="M16" s="1">
        <f t="shared" si="1"/>
        <v>92.4</v>
      </c>
    </row>
    <row r="17" spans="1:13" x14ac:dyDescent="0.3">
      <c r="A17" s="1">
        <v>16</v>
      </c>
      <c r="B17" s="5" t="s">
        <v>40</v>
      </c>
      <c r="C17" s="5" t="s">
        <v>41</v>
      </c>
      <c r="D17" s="5" t="s">
        <v>217</v>
      </c>
      <c r="E17" s="1">
        <v>1</v>
      </c>
      <c r="F17" s="3" t="s">
        <v>214</v>
      </c>
      <c r="G17" s="1">
        <v>77</v>
      </c>
      <c r="H17" s="1">
        <v>74</v>
      </c>
      <c r="I17" s="1">
        <v>80</v>
      </c>
      <c r="J17" s="1">
        <v>78</v>
      </c>
      <c r="K17" s="1">
        <v>82</v>
      </c>
      <c r="L17" s="1">
        <f t="shared" si="0"/>
        <v>391</v>
      </c>
      <c r="M17" s="1">
        <f t="shared" si="1"/>
        <v>78.2</v>
      </c>
    </row>
    <row r="18" spans="1:13" x14ac:dyDescent="0.3">
      <c r="A18" s="1">
        <v>17</v>
      </c>
      <c r="B18" s="5" t="s">
        <v>42</v>
      </c>
      <c r="C18" s="5" t="s">
        <v>43</v>
      </c>
      <c r="D18" s="5" t="s">
        <v>217</v>
      </c>
      <c r="E18" s="1">
        <v>1</v>
      </c>
      <c r="F18" s="3" t="s">
        <v>214</v>
      </c>
      <c r="G18" s="1">
        <v>86</v>
      </c>
      <c r="H18" s="1">
        <v>83</v>
      </c>
      <c r="I18" s="1">
        <v>85</v>
      </c>
      <c r="J18" s="1">
        <v>88</v>
      </c>
      <c r="K18" s="1">
        <v>80</v>
      </c>
      <c r="L18" s="1">
        <f t="shared" si="0"/>
        <v>422</v>
      </c>
      <c r="M18" s="1">
        <f t="shared" si="1"/>
        <v>84.4</v>
      </c>
    </row>
    <row r="19" spans="1:13" x14ac:dyDescent="0.3">
      <c r="A19" s="1">
        <v>18</v>
      </c>
      <c r="B19" s="5" t="s">
        <v>44</v>
      </c>
      <c r="C19" s="5" t="s">
        <v>45</v>
      </c>
      <c r="D19" s="5" t="s">
        <v>217</v>
      </c>
      <c r="E19" s="1">
        <v>1</v>
      </c>
      <c r="F19" s="3" t="s">
        <v>214</v>
      </c>
      <c r="G19" s="1">
        <v>90</v>
      </c>
      <c r="H19" s="1">
        <v>92</v>
      </c>
      <c r="I19" s="1">
        <v>94</v>
      </c>
      <c r="J19" s="1">
        <v>91</v>
      </c>
      <c r="K19" s="1">
        <v>89</v>
      </c>
      <c r="L19" s="1">
        <f t="shared" si="0"/>
        <v>456</v>
      </c>
      <c r="M19" s="1">
        <f t="shared" si="1"/>
        <v>91.2</v>
      </c>
    </row>
    <row r="20" spans="1:13" x14ac:dyDescent="0.3">
      <c r="A20" s="1">
        <v>19</v>
      </c>
      <c r="B20" s="5" t="s">
        <v>46</v>
      </c>
      <c r="C20" s="5" t="s">
        <v>47</v>
      </c>
      <c r="D20" s="5" t="s">
        <v>217</v>
      </c>
      <c r="E20" s="1">
        <v>1</v>
      </c>
      <c r="F20" s="3" t="s">
        <v>216</v>
      </c>
      <c r="G20" s="1">
        <v>72</v>
      </c>
      <c r="H20" s="1">
        <v>78</v>
      </c>
      <c r="I20" s="1">
        <v>74</v>
      </c>
      <c r="J20" s="1">
        <v>69</v>
      </c>
      <c r="K20" s="1">
        <v>76</v>
      </c>
      <c r="L20" s="1">
        <f t="shared" si="0"/>
        <v>369</v>
      </c>
      <c r="M20" s="1">
        <f t="shared" si="1"/>
        <v>73.8</v>
      </c>
    </row>
    <row r="21" spans="1:13" x14ac:dyDescent="0.3">
      <c r="A21" s="1">
        <v>20</v>
      </c>
      <c r="B21" s="5" t="s">
        <v>48</v>
      </c>
      <c r="C21" s="5" t="s">
        <v>49</v>
      </c>
      <c r="D21" s="5" t="s">
        <v>217</v>
      </c>
      <c r="E21" s="1">
        <v>1</v>
      </c>
      <c r="F21" s="3" t="s">
        <v>216</v>
      </c>
      <c r="G21" s="1">
        <v>83</v>
      </c>
      <c r="H21" s="1">
        <v>81</v>
      </c>
      <c r="I21" s="1">
        <v>79</v>
      </c>
      <c r="J21" s="1">
        <v>85</v>
      </c>
      <c r="K21" s="1">
        <v>87</v>
      </c>
      <c r="L21" s="1">
        <f t="shared" si="0"/>
        <v>415</v>
      </c>
      <c r="M21" s="1">
        <f t="shared" si="1"/>
        <v>83</v>
      </c>
    </row>
    <row r="22" spans="1:13" x14ac:dyDescent="0.3">
      <c r="A22" s="1">
        <v>21</v>
      </c>
      <c r="B22" s="5" t="s">
        <v>50</v>
      </c>
      <c r="C22" s="5" t="s">
        <v>51</v>
      </c>
      <c r="D22" s="5" t="s">
        <v>217</v>
      </c>
      <c r="E22" s="1">
        <v>1</v>
      </c>
      <c r="F22" s="3" t="s">
        <v>216</v>
      </c>
      <c r="G22" s="1">
        <v>88</v>
      </c>
      <c r="H22" s="1">
        <v>90</v>
      </c>
      <c r="I22" s="1">
        <v>86</v>
      </c>
      <c r="J22" s="1">
        <v>92</v>
      </c>
      <c r="K22" s="1">
        <v>91</v>
      </c>
      <c r="L22" s="1">
        <f t="shared" si="0"/>
        <v>447</v>
      </c>
      <c r="M22" s="1">
        <f t="shared" si="1"/>
        <v>89.4</v>
      </c>
    </row>
    <row r="23" spans="1:13" x14ac:dyDescent="0.3">
      <c r="A23" s="1">
        <v>22</v>
      </c>
      <c r="B23" s="5" t="s">
        <v>52</v>
      </c>
      <c r="C23" s="5" t="s">
        <v>53</v>
      </c>
      <c r="D23" s="5" t="s">
        <v>218</v>
      </c>
      <c r="E23" s="1">
        <v>1</v>
      </c>
      <c r="F23" s="3" t="s">
        <v>214</v>
      </c>
      <c r="G23" s="1">
        <v>75</v>
      </c>
      <c r="H23" s="1">
        <v>73</v>
      </c>
      <c r="I23" s="1">
        <v>81</v>
      </c>
      <c r="J23" s="1">
        <v>77</v>
      </c>
      <c r="K23" s="1">
        <v>79</v>
      </c>
      <c r="L23" s="1">
        <f t="shared" si="0"/>
        <v>385</v>
      </c>
      <c r="M23" s="1">
        <f t="shared" si="1"/>
        <v>77</v>
      </c>
    </row>
    <row r="24" spans="1:13" x14ac:dyDescent="0.3">
      <c r="A24" s="1">
        <v>23</v>
      </c>
      <c r="B24" s="5" t="s">
        <v>54</v>
      </c>
      <c r="C24" s="5" t="s">
        <v>55</v>
      </c>
      <c r="D24" s="5" t="s">
        <v>218</v>
      </c>
      <c r="E24" s="1">
        <v>1</v>
      </c>
      <c r="F24" s="3" t="s">
        <v>214</v>
      </c>
      <c r="G24" s="1">
        <v>91</v>
      </c>
      <c r="H24" s="1">
        <v>85</v>
      </c>
      <c r="I24" s="1">
        <v>89</v>
      </c>
      <c r="J24" s="1">
        <v>94</v>
      </c>
      <c r="K24" s="1">
        <v>88</v>
      </c>
      <c r="L24" s="1">
        <f t="shared" si="0"/>
        <v>447</v>
      </c>
      <c r="M24" s="1">
        <f t="shared" si="1"/>
        <v>89.4</v>
      </c>
    </row>
    <row r="25" spans="1:13" x14ac:dyDescent="0.3">
      <c r="A25" s="1">
        <v>24</v>
      </c>
      <c r="B25" s="5" t="s">
        <v>56</v>
      </c>
      <c r="C25" s="5" t="s">
        <v>57</v>
      </c>
      <c r="D25" s="5" t="s">
        <v>218</v>
      </c>
      <c r="E25" s="1">
        <v>1</v>
      </c>
      <c r="F25" s="3" t="s">
        <v>214</v>
      </c>
      <c r="G25" s="1">
        <v>82</v>
      </c>
      <c r="H25" s="1">
        <v>87</v>
      </c>
      <c r="I25" s="1">
        <v>84</v>
      </c>
      <c r="J25" s="1">
        <v>80</v>
      </c>
      <c r="K25" s="1">
        <v>86</v>
      </c>
      <c r="L25" s="1">
        <f t="shared" si="0"/>
        <v>419</v>
      </c>
      <c r="M25" s="1">
        <f t="shared" si="1"/>
        <v>83.8</v>
      </c>
    </row>
    <row r="26" spans="1:13" x14ac:dyDescent="0.3">
      <c r="A26" s="1">
        <v>25</v>
      </c>
      <c r="B26" s="5" t="s">
        <v>58</v>
      </c>
      <c r="C26" s="5" t="s">
        <v>59</v>
      </c>
      <c r="D26" s="5" t="s">
        <v>218</v>
      </c>
      <c r="E26" s="1">
        <v>1</v>
      </c>
      <c r="F26" s="3" t="s">
        <v>214</v>
      </c>
      <c r="G26" s="1">
        <v>69</v>
      </c>
      <c r="H26" s="1">
        <v>75</v>
      </c>
      <c r="I26" s="1">
        <v>71</v>
      </c>
      <c r="J26" s="1">
        <v>73</v>
      </c>
      <c r="K26" s="1">
        <v>68</v>
      </c>
      <c r="L26" s="1">
        <f t="shared" si="0"/>
        <v>356</v>
      </c>
      <c r="M26" s="1">
        <f t="shared" si="1"/>
        <v>71.2</v>
      </c>
    </row>
    <row r="27" spans="1:13" x14ac:dyDescent="0.3">
      <c r="A27" s="1">
        <v>26</v>
      </c>
      <c r="B27" s="5" t="s">
        <v>60</v>
      </c>
      <c r="C27" s="5" t="s">
        <v>61</v>
      </c>
      <c r="D27" s="5" t="s">
        <v>218</v>
      </c>
      <c r="E27" s="1">
        <v>1</v>
      </c>
      <c r="F27" s="3" t="s">
        <v>214</v>
      </c>
      <c r="G27" s="1">
        <v>95</v>
      </c>
      <c r="H27" s="1">
        <v>91</v>
      </c>
      <c r="I27" s="1">
        <v>93</v>
      </c>
      <c r="J27" s="1">
        <v>96</v>
      </c>
      <c r="K27" s="1">
        <v>92</v>
      </c>
      <c r="L27" s="1">
        <f t="shared" si="0"/>
        <v>467</v>
      </c>
      <c r="M27" s="1">
        <f t="shared" si="1"/>
        <v>93.4</v>
      </c>
    </row>
    <row r="28" spans="1:13" x14ac:dyDescent="0.3">
      <c r="A28" s="1">
        <v>27</v>
      </c>
      <c r="B28" s="5" t="s">
        <v>62</v>
      </c>
      <c r="C28" s="5" t="s">
        <v>63</v>
      </c>
      <c r="D28" s="5" t="s">
        <v>218</v>
      </c>
      <c r="E28" s="1">
        <v>1</v>
      </c>
      <c r="F28" s="3" t="s">
        <v>216</v>
      </c>
      <c r="G28" s="1">
        <v>80</v>
      </c>
      <c r="H28" s="1">
        <v>78</v>
      </c>
      <c r="I28" s="1">
        <v>83</v>
      </c>
      <c r="J28" s="1">
        <v>81</v>
      </c>
      <c r="K28" s="1">
        <v>77</v>
      </c>
      <c r="L28" s="1">
        <f t="shared" si="0"/>
        <v>399</v>
      </c>
      <c r="M28" s="1">
        <f t="shared" si="1"/>
        <v>79.8</v>
      </c>
    </row>
    <row r="29" spans="1:13" x14ac:dyDescent="0.3">
      <c r="A29" s="1">
        <v>28</v>
      </c>
      <c r="B29" s="5" t="s">
        <v>64</v>
      </c>
      <c r="C29" s="5" t="s">
        <v>65</v>
      </c>
      <c r="D29" s="5" t="s">
        <v>218</v>
      </c>
      <c r="E29" s="1">
        <v>1</v>
      </c>
      <c r="F29" s="3" t="s">
        <v>216</v>
      </c>
      <c r="G29" s="1">
        <v>87</v>
      </c>
      <c r="H29" s="1">
        <v>89</v>
      </c>
      <c r="I29" s="1">
        <v>90</v>
      </c>
      <c r="J29" s="1">
        <v>85</v>
      </c>
      <c r="K29" s="1">
        <v>88</v>
      </c>
      <c r="L29" s="1">
        <f t="shared" si="0"/>
        <v>439</v>
      </c>
      <c r="M29" s="1">
        <f t="shared" si="1"/>
        <v>87.8</v>
      </c>
    </row>
    <row r="30" spans="1:13" x14ac:dyDescent="0.3">
      <c r="A30" s="1">
        <v>29</v>
      </c>
      <c r="B30" s="5" t="s">
        <v>66</v>
      </c>
      <c r="C30" s="5" t="s">
        <v>67</v>
      </c>
      <c r="D30" s="5" t="s">
        <v>219</v>
      </c>
      <c r="E30" s="1">
        <v>1</v>
      </c>
      <c r="F30" s="3" t="s">
        <v>214</v>
      </c>
      <c r="G30" s="1">
        <v>74</v>
      </c>
      <c r="H30" s="1">
        <v>70</v>
      </c>
      <c r="I30" s="1">
        <v>76</v>
      </c>
      <c r="J30" s="1">
        <v>79</v>
      </c>
      <c r="K30" s="1">
        <v>73</v>
      </c>
      <c r="L30" s="1">
        <f t="shared" si="0"/>
        <v>372</v>
      </c>
      <c r="M30" s="1">
        <f t="shared" si="1"/>
        <v>74.400000000000006</v>
      </c>
    </row>
    <row r="31" spans="1:13" x14ac:dyDescent="0.3">
      <c r="A31" s="1">
        <v>30</v>
      </c>
      <c r="B31" s="5" t="s">
        <v>68</v>
      </c>
      <c r="C31" s="5" t="s">
        <v>69</v>
      </c>
      <c r="D31" s="5" t="s">
        <v>219</v>
      </c>
      <c r="E31" s="1">
        <v>1</v>
      </c>
      <c r="F31" s="3" t="s">
        <v>214</v>
      </c>
      <c r="G31" s="1">
        <v>92</v>
      </c>
      <c r="H31" s="1">
        <v>94</v>
      </c>
      <c r="I31" s="1">
        <v>89</v>
      </c>
      <c r="J31" s="1">
        <v>91</v>
      </c>
      <c r="K31" s="1">
        <v>95</v>
      </c>
      <c r="L31" s="1">
        <f t="shared" si="0"/>
        <v>461</v>
      </c>
      <c r="M31" s="1">
        <f t="shared" si="1"/>
        <v>92.2</v>
      </c>
    </row>
    <row r="32" spans="1:13" x14ac:dyDescent="0.3">
      <c r="A32" s="1">
        <v>31</v>
      </c>
      <c r="B32" s="5" t="s">
        <v>70</v>
      </c>
      <c r="C32" s="5" t="s">
        <v>71</v>
      </c>
      <c r="D32" s="5" t="s">
        <v>219</v>
      </c>
      <c r="E32" s="1">
        <v>1</v>
      </c>
      <c r="F32" s="3" t="s">
        <v>214</v>
      </c>
      <c r="G32" s="1">
        <v>81</v>
      </c>
      <c r="H32" s="1">
        <v>76</v>
      </c>
      <c r="I32" s="1">
        <v>85</v>
      </c>
      <c r="J32" s="1">
        <v>83</v>
      </c>
      <c r="K32" s="1">
        <v>80</v>
      </c>
      <c r="L32" s="1">
        <f t="shared" si="0"/>
        <v>405</v>
      </c>
      <c r="M32" s="1">
        <f t="shared" si="1"/>
        <v>81</v>
      </c>
    </row>
    <row r="33" spans="1:13" x14ac:dyDescent="0.3">
      <c r="A33" s="1">
        <v>32</v>
      </c>
      <c r="B33" s="5" t="s">
        <v>72</v>
      </c>
      <c r="C33" s="5" t="s">
        <v>73</v>
      </c>
      <c r="D33" s="5" t="s">
        <v>219</v>
      </c>
      <c r="E33" s="1">
        <v>1</v>
      </c>
      <c r="F33" s="3" t="s">
        <v>214</v>
      </c>
      <c r="G33" s="1">
        <v>77</v>
      </c>
      <c r="H33" s="1">
        <v>82</v>
      </c>
      <c r="I33" s="1">
        <v>79</v>
      </c>
      <c r="J33" s="1">
        <v>75</v>
      </c>
      <c r="K33" s="1">
        <v>84</v>
      </c>
      <c r="L33" s="1">
        <f t="shared" si="0"/>
        <v>397</v>
      </c>
      <c r="M33" s="1">
        <f t="shared" si="1"/>
        <v>79.400000000000006</v>
      </c>
    </row>
    <row r="34" spans="1:13" ht="28.8" x14ac:dyDescent="0.3">
      <c r="A34" s="1">
        <v>33</v>
      </c>
      <c r="B34" s="5" t="s">
        <v>74</v>
      </c>
      <c r="C34" s="5" t="s">
        <v>75</v>
      </c>
      <c r="D34" s="5" t="s">
        <v>219</v>
      </c>
      <c r="E34" s="1">
        <v>1</v>
      </c>
      <c r="F34" s="3" t="s">
        <v>216</v>
      </c>
      <c r="G34" s="1">
        <v>89</v>
      </c>
      <c r="H34" s="1">
        <v>93</v>
      </c>
      <c r="I34" s="1">
        <v>91</v>
      </c>
      <c r="J34" s="1">
        <v>88</v>
      </c>
      <c r="K34" s="1">
        <v>90</v>
      </c>
      <c r="L34" s="1">
        <f t="shared" si="0"/>
        <v>451</v>
      </c>
      <c r="M34" s="1">
        <f t="shared" si="1"/>
        <v>90.2</v>
      </c>
    </row>
    <row r="35" spans="1:13" ht="28.8" x14ac:dyDescent="0.3">
      <c r="A35" s="1">
        <v>34</v>
      </c>
      <c r="B35" s="5" t="s">
        <v>76</v>
      </c>
      <c r="C35" s="5" t="s">
        <v>77</v>
      </c>
      <c r="D35" s="5" t="s">
        <v>219</v>
      </c>
      <c r="E35" s="1">
        <v>1</v>
      </c>
      <c r="F35" s="3" t="s">
        <v>216</v>
      </c>
      <c r="G35" s="1">
        <v>71</v>
      </c>
      <c r="H35" s="1">
        <v>74</v>
      </c>
      <c r="I35" s="1">
        <v>68</v>
      </c>
      <c r="J35" s="1">
        <v>72</v>
      </c>
      <c r="K35" s="1">
        <v>77</v>
      </c>
      <c r="L35" s="1">
        <f t="shared" si="0"/>
        <v>362</v>
      </c>
      <c r="M35" s="1">
        <f t="shared" si="1"/>
        <v>72.400000000000006</v>
      </c>
    </row>
    <row r="36" spans="1:13" x14ac:dyDescent="0.3">
      <c r="A36" s="1">
        <v>35</v>
      </c>
      <c r="B36" s="5" t="s">
        <v>78</v>
      </c>
      <c r="C36" s="5" t="s">
        <v>79</v>
      </c>
      <c r="D36" s="5" t="s">
        <v>219</v>
      </c>
      <c r="E36" s="1">
        <v>1</v>
      </c>
      <c r="F36" s="3" t="s">
        <v>216</v>
      </c>
      <c r="G36" s="1">
        <v>84</v>
      </c>
      <c r="H36" s="1">
        <v>80</v>
      </c>
      <c r="I36" s="1">
        <v>86</v>
      </c>
      <c r="J36" s="1">
        <v>87</v>
      </c>
      <c r="K36" s="1">
        <v>82</v>
      </c>
      <c r="L36" s="1">
        <f t="shared" si="0"/>
        <v>419</v>
      </c>
      <c r="M36" s="1">
        <f t="shared" si="1"/>
        <v>83.8</v>
      </c>
    </row>
    <row r="37" spans="1:13" ht="28.8" x14ac:dyDescent="0.3">
      <c r="A37" s="1">
        <v>36</v>
      </c>
      <c r="B37" s="5" t="s">
        <v>80</v>
      </c>
      <c r="C37" s="5" t="s">
        <v>81</v>
      </c>
      <c r="D37" s="5" t="s">
        <v>220</v>
      </c>
      <c r="E37" s="1">
        <v>1</v>
      </c>
      <c r="F37" s="3" t="s">
        <v>214</v>
      </c>
      <c r="G37" s="1">
        <v>90</v>
      </c>
      <c r="H37" s="1">
        <v>88</v>
      </c>
      <c r="I37" s="1">
        <v>92</v>
      </c>
      <c r="J37" s="1">
        <v>94</v>
      </c>
      <c r="K37" s="1">
        <v>91</v>
      </c>
      <c r="L37" s="1">
        <f t="shared" si="0"/>
        <v>455</v>
      </c>
      <c r="M37" s="1">
        <f t="shared" si="1"/>
        <v>91</v>
      </c>
    </row>
    <row r="38" spans="1:13" ht="28.8" x14ac:dyDescent="0.3">
      <c r="A38" s="1">
        <v>37</v>
      </c>
      <c r="B38" s="5" t="s">
        <v>82</v>
      </c>
      <c r="C38" s="5" t="s">
        <v>83</v>
      </c>
      <c r="D38" s="5" t="s">
        <v>220</v>
      </c>
      <c r="E38" s="1">
        <v>1</v>
      </c>
      <c r="F38" s="3" t="s">
        <v>214</v>
      </c>
      <c r="G38" s="1">
        <v>79</v>
      </c>
      <c r="H38" s="1">
        <v>83</v>
      </c>
      <c r="I38" s="1">
        <v>77</v>
      </c>
      <c r="J38" s="1">
        <v>80</v>
      </c>
      <c r="K38" s="1">
        <v>85</v>
      </c>
      <c r="L38" s="1">
        <f t="shared" si="0"/>
        <v>404</v>
      </c>
      <c r="M38" s="1">
        <f t="shared" si="1"/>
        <v>80.8</v>
      </c>
    </row>
    <row r="39" spans="1:13" ht="28.8" x14ac:dyDescent="0.3">
      <c r="A39" s="1">
        <v>38</v>
      </c>
      <c r="B39" s="5" t="s">
        <v>84</v>
      </c>
      <c r="C39" s="5" t="s">
        <v>85</v>
      </c>
      <c r="D39" s="5" t="s">
        <v>220</v>
      </c>
      <c r="E39" s="1">
        <v>1</v>
      </c>
      <c r="F39" s="3" t="s">
        <v>214</v>
      </c>
      <c r="G39" s="1">
        <v>86</v>
      </c>
      <c r="H39" s="1">
        <v>90</v>
      </c>
      <c r="I39" s="1">
        <v>88</v>
      </c>
      <c r="J39" s="1">
        <v>84</v>
      </c>
      <c r="K39" s="1">
        <v>92</v>
      </c>
      <c r="L39" s="1">
        <f t="shared" si="0"/>
        <v>440</v>
      </c>
      <c r="M39" s="1">
        <f t="shared" si="1"/>
        <v>88</v>
      </c>
    </row>
    <row r="40" spans="1:13" ht="28.8" x14ac:dyDescent="0.3">
      <c r="A40" s="1">
        <v>39</v>
      </c>
      <c r="B40" s="5" t="s">
        <v>86</v>
      </c>
      <c r="C40" s="5" t="s">
        <v>87</v>
      </c>
      <c r="D40" s="5" t="s">
        <v>220</v>
      </c>
      <c r="E40" s="1">
        <v>1</v>
      </c>
      <c r="F40" s="3" t="s">
        <v>214</v>
      </c>
      <c r="G40" s="1">
        <v>93</v>
      </c>
      <c r="H40" s="1">
        <v>87</v>
      </c>
      <c r="I40" s="1">
        <v>95</v>
      </c>
      <c r="J40" s="1">
        <v>91</v>
      </c>
      <c r="K40" s="1">
        <v>89</v>
      </c>
      <c r="L40" s="1">
        <f t="shared" si="0"/>
        <v>455</v>
      </c>
      <c r="M40" s="1">
        <f t="shared" si="1"/>
        <v>91</v>
      </c>
    </row>
    <row r="41" spans="1:13" ht="28.8" x14ac:dyDescent="0.3">
      <c r="A41" s="1">
        <v>40</v>
      </c>
      <c r="B41" s="5" t="s">
        <v>88</v>
      </c>
      <c r="C41" s="5" t="s">
        <v>89</v>
      </c>
      <c r="D41" s="5" t="s">
        <v>220</v>
      </c>
      <c r="E41" s="1">
        <v>1</v>
      </c>
      <c r="F41" s="3" t="s">
        <v>214</v>
      </c>
      <c r="G41" s="1">
        <v>68</v>
      </c>
      <c r="H41" s="1">
        <v>73</v>
      </c>
      <c r="I41" s="1">
        <v>70</v>
      </c>
      <c r="J41" s="1">
        <v>76</v>
      </c>
      <c r="K41" s="1">
        <v>74</v>
      </c>
      <c r="L41" s="1">
        <f t="shared" si="0"/>
        <v>361</v>
      </c>
      <c r="M41" s="1">
        <f t="shared" si="1"/>
        <v>72.2</v>
      </c>
    </row>
    <row r="42" spans="1:13" ht="28.8" x14ac:dyDescent="0.3">
      <c r="A42" s="1">
        <v>41</v>
      </c>
      <c r="B42" s="5" t="s">
        <v>90</v>
      </c>
      <c r="C42" s="5" t="s">
        <v>91</v>
      </c>
      <c r="D42" s="5" t="s">
        <v>220</v>
      </c>
      <c r="E42" s="1">
        <v>1</v>
      </c>
      <c r="F42" s="3" t="s">
        <v>216</v>
      </c>
      <c r="G42" s="1">
        <v>82</v>
      </c>
      <c r="H42" s="1">
        <v>85</v>
      </c>
      <c r="I42" s="1">
        <v>80</v>
      </c>
      <c r="J42" s="1">
        <v>88</v>
      </c>
      <c r="K42" s="1">
        <v>83</v>
      </c>
      <c r="L42" s="1">
        <f t="shared" si="0"/>
        <v>418</v>
      </c>
      <c r="M42" s="1">
        <f t="shared" si="1"/>
        <v>83.6</v>
      </c>
    </row>
    <row r="43" spans="1:13" ht="28.8" x14ac:dyDescent="0.3">
      <c r="A43" s="1">
        <v>42</v>
      </c>
      <c r="B43" s="5" t="s">
        <v>92</v>
      </c>
      <c r="C43" s="5" t="s">
        <v>93</v>
      </c>
      <c r="D43" s="5" t="s">
        <v>220</v>
      </c>
      <c r="E43" s="1">
        <v>1</v>
      </c>
      <c r="F43" s="3" t="s">
        <v>216</v>
      </c>
      <c r="G43" s="1">
        <v>91</v>
      </c>
      <c r="H43" s="1">
        <v>89</v>
      </c>
      <c r="I43" s="1">
        <v>93</v>
      </c>
      <c r="J43" s="1">
        <v>90</v>
      </c>
      <c r="K43" s="1">
        <v>95</v>
      </c>
      <c r="L43" s="1">
        <f t="shared" si="0"/>
        <v>458</v>
      </c>
      <c r="M43" s="1">
        <f t="shared" si="1"/>
        <v>91.6</v>
      </c>
    </row>
    <row r="44" spans="1:13" ht="28.8" x14ac:dyDescent="0.3">
      <c r="A44" s="1">
        <v>43</v>
      </c>
      <c r="B44" s="5" t="s">
        <v>94</v>
      </c>
      <c r="C44" s="5" t="s">
        <v>95</v>
      </c>
      <c r="D44" s="5" t="s">
        <v>220</v>
      </c>
      <c r="E44" s="1">
        <v>1</v>
      </c>
      <c r="F44" s="3" t="s">
        <v>216</v>
      </c>
      <c r="G44" s="1">
        <v>76</v>
      </c>
      <c r="H44" s="1">
        <v>79</v>
      </c>
      <c r="I44" s="1">
        <v>82</v>
      </c>
      <c r="J44" s="1">
        <v>74</v>
      </c>
      <c r="K44" s="1">
        <v>81</v>
      </c>
      <c r="L44" s="1">
        <f t="shared" si="0"/>
        <v>392</v>
      </c>
      <c r="M44" s="1">
        <f t="shared" si="1"/>
        <v>78.400000000000006</v>
      </c>
    </row>
    <row r="45" spans="1:13" ht="28.8" x14ac:dyDescent="0.3">
      <c r="A45" s="1">
        <v>44</v>
      </c>
      <c r="B45" s="5" t="s">
        <v>96</v>
      </c>
      <c r="C45" s="5" t="s">
        <v>97</v>
      </c>
      <c r="D45" s="5" t="s">
        <v>220</v>
      </c>
      <c r="E45" s="1">
        <v>1</v>
      </c>
      <c r="F45" s="3" t="s">
        <v>216</v>
      </c>
      <c r="G45" s="1">
        <v>88</v>
      </c>
      <c r="H45" s="1">
        <v>92</v>
      </c>
      <c r="I45" s="1">
        <v>86</v>
      </c>
      <c r="J45" s="1">
        <v>89</v>
      </c>
      <c r="K45" s="1">
        <v>91</v>
      </c>
      <c r="L45" s="1">
        <f t="shared" si="0"/>
        <v>446</v>
      </c>
      <c r="M45" s="1">
        <f t="shared" si="1"/>
        <v>89.2</v>
      </c>
    </row>
    <row r="46" spans="1:13" ht="28.8" x14ac:dyDescent="0.3">
      <c r="A46" s="1">
        <v>45</v>
      </c>
      <c r="B46" s="5" t="s">
        <v>98</v>
      </c>
      <c r="C46" s="5" t="s">
        <v>99</v>
      </c>
      <c r="D46" s="5" t="s">
        <v>220</v>
      </c>
      <c r="E46" s="1">
        <v>1</v>
      </c>
      <c r="F46" s="3" t="s">
        <v>216</v>
      </c>
      <c r="G46" s="1">
        <v>73</v>
      </c>
      <c r="H46" s="1">
        <v>77</v>
      </c>
      <c r="I46" s="1">
        <v>75</v>
      </c>
      <c r="J46" s="1">
        <v>80</v>
      </c>
      <c r="K46" s="1">
        <v>72</v>
      </c>
      <c r="L46" s="1">
        <f t="shared" si="0"/>
        <v>377</v>
      </c>
      <c r="M46" s="1">
        <f t="shared" si="1"/>
        <v>75.400000000000006</v>
      </c>
    </row>
    <row r="47" spans="1:13" x14ac:dyDescent="0.3">
      <c r="A47" s="1">
        <v>46</v>
      </c>
      <c r="B47" s="5" t="s">
        <v>100</v>
      </c>
      <c r="C47" s="5" t="s">
        <v>101</v>
      </c>
      <c r="D47" s="5" t="s">
        <v>213</v>
      </c>
      <c r="E47" s="1">
        <v>1</v>
      </c>
      <c r="F47" s="3" t="s">
        <v>216</v>
      </c>
      <c r="G47" s="1">
        <v>85</v>
      </c>
      <c r="H47" s="1">
        <v>81</v>
      </c>
      <c r="I47" s="1">
        <v>89</v>
      </c>
      <c r="J47" s="1">
        <v>84</v>
      </c>
      <c r="K47" s="1">
        <v>87</v>
      </c>
      <c r="L47" s="1">
        <f t="shared" si="0"/>
        <v>426</v>
      </c>
      <c r="M47" s="1">
        <f t="shared" si="1"/>
        <v>85.2</v>
      </c>
    </row>
    <row r="48" spans="1:13" x14ac:dyDescent="0.3">
      <c r="A48" s="1">
        <v>47</v>
      </c>
      <c r="B48" s="5" t="s">
        <v>102</v>
      </c>
      <c r="C48" s="5" t="s">
        <v>103</v>
      </c>
      <c r="D48" s="5" t="s">
        <v>213</v>
      </c>
      <c r="E48" s="1">
        <v>1</v>
      </c>
      <c r="F48" s="3" t="s">
        <v>216</v>
      </c>
      <c r="G48" s="1">
        <v>94</v>
      </c>
      <c r="H48" s="1">
        <v>90</v>
      </c>
      <c r="I48" s="1">
        <v>92</v>
      </c>
      <c r="J48" s="1">
        <v>95</v>
      </c>
      <c r="K48" s="1">
        <v>93</v>
      </c>
      <c r="L48" s="1">
        <f t="shared" si="0"/>
        <v>464</v>
      </c>
      <c r="M48" s="1">
        <f t="shared" si="1"/>
        <v>92.8</v>
      </c>
    </row>
    <row r="49" spans="1:13" x14ac:dyDescent="0.3">
      <c r="A49" s="1">
        <v>48</v>
      </c>
      <c r="B49" s="5" t="s">
        <v>104</v>
      </c>
      <c r="C49" s="5" t="s">
        <v>105</v>
      </c>
      <c r="D49" s="5" t="s">
        <v>213</v>
      </c>
      <c r="E49" s="1">
        <v>1</v>
      </c>
      <c r="F49" s="3" t="s">
        <v>216</v>
      </c>
      <c r="G49" s="1">
        <v>78</v>
      </c>
      <c r="H49" s="1">
        <v>75</v>
      </c>
      <c r="I49" s="1">
        <v>80</v>
      </c>
      <c r="J49" s="1">
        <v>82</v>
      </c>
      <c r="K49" s="1">
        <v>79</v>
      </c>
      <c r="L49" s="1">
        <f t="shared" si="0"/>
        <v>394</v>
      </c>
      <c r="M49" s="1">
        <f t="shared" si="1"/>
        <v>78.8</v>
      </c>
    </row>
    <row r="50" spans="1:13" x14ac:dyDescent="0.3">
      <c r="A50" s="1">
        <v>49</v>
      </c>
      <c r="B50" s="5" t="s">
        <v>106</v>
      </c>
      <c r="C50" s="5" t="s">
        <v>107</v>
      </c>
      <c r="D50" s="5" t="s">
        <v>213</v>
      </c>
      <c r="E50" s="1">
        <v>1</v>
      </c>
      <c r="F50" s="3" t="s">
        <v>216</v>
      </c>
      <c r="G50" s="1">
        <v>83</v>
      </c>
      <c r="H50" s="1">
        <v>86</v>
      </c>
      <c r="I50" s="1">
        <v>84</v>
      </c>
      <c r="J50" s="1">
        <v>88</v>
      </c>
      <c r="K50" s="1">
        <v>90</v>
      </c>
      <c r="L50" s="1">
        <f t="shared" si="0"/>
        <v>431</v>
      </c>
      <c r="M50" s="1">
        <f t="shared" si="1"/>
        <v>86.2</v>
      </c>
    </row>
    <row r="51" spans="1:13" x14ac:dyDescent="0.3">
      <c r="A51" s="1">
        <v>50</v>
      </c>
      <c r="B51" s="5" t="s">
        <v>108</v>
      </c>
      <c r="C51" s="5" t="s">
        <v>109</v>
      </c>
      <c r="D51" s="5" t="s">
        <v>213</v>
      </c>
      <c r="E51" s="1">
        <v>1</v>
      </c>
      <c r="F51" s="3" t="s">
        <v>216</v>
      </c>
      <c r="G51" s="1">
        <v>70</v>
      </c>
      <c r="H51" s="1">
        <v>72</v>
      </c>
      <c r="I51" s="1">
        <v>78</v>
      </c>
      <c r="J51" s="1">
        <v>74</v>
      </c>
      <c r="K51" s="1">
        <v>76</v>
      </c>
      <c r="L51" s="1">
        <f t="shared" si="0"/>
        <v>370</v>
      </c>
      <c r="M51" s="1">
        <f t="shared" si="1"/>
        <v>74</v>
      </c>
    </row>
    <row r="52" spans="1:13" x14ac:dyDescent="0.3">
      <c r="A52" s="1">
        <v>51</v>
      </c>
      <c r="B52" s="5" t="s">
        <v>110</v>
      </c>
      <c r="C52" s="5" t="s">
        <v>111</v>
      </c>
      <c r="D52" s="5" t="s">
        <v>215</v>
      </c>
      <c r="E52" s="1">
        <v>1</v>
      </c>
      <c r="F52" s="3" t="s">
        <v>216</v>
      </c>
      <c r="G52" s="1">
        <v>89</v>
      </c>
      <c r="H52" s="1">
        <v>85</v>
      </c>
      <c r="I52" s="1">
        <v>91</v>
      </c>
      <c r="J52" s="1">
        <v>87</v>
      </c>
      <c r="K52" s="1">
        <v>90</v>
      </c>
      <c r="L52" s="1">
        <f t="shared" si="0"/>
        <v>442</v>
      </c>
      <c r="M52" s="1">
        <f t="shared" si="1"/>
        <v>88.4</v>
      </c>
    </row>
    <row r="53" spans="1:13" x14ac:dyDescent="0.3">
      <c r="A53" s="1">
        <v>52</v>
      </c>
      <c r="B53" s="5" t="s">
        <v>112</v>
      </c>
      <c r="C53" s="5" t="s">
        <v>113</v>
      </c>
      <c r="D53" s="5" t="s">
        <v>215</v>
      </c>
      <c r="E53" s="1">
        <v>1</v>
      </c>
      <c r="F53" s="3" t="s">
        <v>216</v>
      </c>
      <c r="G53" s="1">
        <v>81</v>
      </c>
      <c r="H53" s="1">
        <v>79</v>
      </c>
      <c r="I53" s="1">
        <v>83</v>
      </c>
      <c r="J53" s="1">
        <v>85</v>
      </c>
      <c r="K53" s="1">
        <v>80</v>
      </c>
      <c r="L53" s="1">
        <f t="shared" si="0"/>
        <v>408</v>
      </c>
      <c r="M53" s="1">
        <f t="shared" si="1"/>
        <v>81.599999999999994</v>
      </c>
    </row>
    <row r="54" spans="1:13" x14ac:dyDescent="0.3">
      <c r="A54" s="1">
        <v>53</v>
      </c>
      <c r="B54" s="5" t="s">
        <v>114</v>
      </c>
      <c r="C54" s="5" t="s">
        <v>115</v>
      </c>
      <c r="D54" s="5" t="s">
        <v>215</v>
      </c>
      <c r="E54" s="1">
        <v>1</v>
      </c>
      <c r="F54" s="3" t="s">
        <v>216</v>
      </c>
      <c r="G54" s="1">
        <v>92</v>
      </c>
      <c r="H54" s="1">
        <v>88</v>
      </c>
      <c r="I54" s="1">
        <v>94</v>
      </c>
      <c r="J54" s="1">
        <v>90</v>
      </c>
      <c r="K54" s="1">
        <v>93</v>
      </c>
      <c r="L54" s="1">
        <f t="shared" si="0"/>
        <v>457</v>
      </c>
      <c r="M54" s="1">
        <f t="shared" si="1"/>
        <v>91.4</v>
      </c>
    </row>
    <row r="55" spans="1:13" x14ac:dyDescent="0.3">
      <c r="A55" s="1">
        <v>54</v>
      </c>
      <c r="B55" s="5" t="s">
        <v>116</v>
      </c>
      <c r="C55" s="5" t="s">
        <v>117</v>
      </c>
      <c r="D55" s="5" t="s">
        <v>215</v>
      </c>
      <c r="E55" s="1">
        <v>1</v>
      </c>
      <c r="F55" s="3" t="s">
        <v>216</v>
      </c>
      <c r="G55" s="1">
        <v>75</v>
      </c>
      <c r="H55" s="1">
        <v>81</v>
      </c>
      <c r="I55" s="1">
        <v>72</v>
      </c>
      <c r="J55" s="1">
        <v>78</v>
      </c>
      <c r="K55" s="1">
        <v>74</v>
      </c>
      <c r="L55" s="1">
        <f t="shared" si="0"/>
        <v>380</v>
      </c>
      <c r="M55" s="1">
        <f t="shared" si="1"/>
        <v>76</v>
      </c>
    </row>
    <row r="56" spans="1:13" x14ac:dyDescent="0.3">
      <c r="A56" s="1">
        <v>55</v>
      </c>
      <c r="B56" s="5" t="s">
        <v>118</v>
      </c>
      <c r="C56" s="5" t="s">
        <v>119</v>
      </c>
      <c r="D56" s="5" t="s">
        <v>215</v>
      </c>
      <c r="E56" s="1">
        <v>1</v>
      </c>
      <c r="F56" s="3" t="s">
        <v>216</v>
      </c>
      <c r="G56" s="1">
        <v>87</v>
      </c>
      <c r="H56" s="1">
        <v>90</v>
      </c>
      <c r="I56" s="1">
        <v>85</v>
      </c>
      <c r="J56" s="1">
        <v>92</v>
      </c>
      <c r="K56" s="1">
        <v>88</v>
      </c>
      <c r="L56" s="1">
        <f t="shared" si="0"/>
        <v>442</v>
      </c>
      <c r="M56" s="1">
        <f t="shared" si="1"/>
        <v>88.4</v>
      </c>
    </row>
    <row r="57" spans="1:13" x14ac:dyDescent="0.3">
      <c r="A57" s="1">
        <v>56</v>
      </c>
      <c r="B57" s="5" t="s">
        <v>120</v>
      </c>
      <c r="C57" s="5" t="s">
        <v>121</v>
      </c>
      <c r="D57" s="5" t="s">
        <v>217</v>
      </c>
      <c r="E57" s="1">
        <v>1</v>
      </c>
      <c r="F57" s="3" t="s">
        <v>216</v>
      </c>
      <c r="G57" s="1">
        <v>90</v>
      </c>
      <c r="H57" s="1">
        <v>93</v>
      </c>
      <c r="I57" s="1">
        <v>89</v>
      </c>
      <c r="J57" s="1">
        <v>86</v>
      </c>
      <c r="K57" s="1">
        <v>91</v>
      </c>
      <c r="L57" s="1">
        <f t="shared" si="0"/>
        <v>449</v>
      </c>
      <c r="M57" s="1">
        <f t="shared" si="1"/>
        <v>89.8</v>
      </c>
    </row>
    <row r="58" spans="1:13" x14ac:dyDescent="0.3">
      <c r="A58" s="1">
        <v>57</v>
      </c>
      <c r="B58" s="5" t="s">
        <v>122</v>
      </c>
      <c r="C58" s="5" t="s">
        <v>123</v>
      </c>
      <c r="D58" s="5" t="s">
        <v>217</v>
      </c>
      <c r="E58" s="1">
        <v>1</v>
      </c>
      <c r="F58" s="3" t="s">
        <v>216</v>
      </c>
      <c r="G58" s="1">
        <v>67</v>
      </c>
      <c r="H58" s="1">
        <v>70</v>
      </c>
      <c r="I58" s="1">
        <v>73</v>
      </c>
      <c r="J58" s="1">
        <v>69</v>
      </c>
      <c r="K58" s="1">
        <v>75</v>
      </c>
      <c r="L58" s="1">
        <f t="shared" si="0"/>
        <v>354</v>
      </c>
      <c r="M58" s="1">
        <f t="shared" si="1"/>
        <v>70.8</v>
      </c>
    </row>
    <row r="59" spans="1:13" x14ac:dyDescent="0.3">
      <c r="A59" s="1">
        <v>58</v>
      </c>
      <c r="B59" s="5" t="s">
        <v>124</v>
      </c>
      <c r="C59" s="5" t="s">
        <v>125</v>
      </c>
      <c r="D59" s="5" t="s">
        <v>217</v>
      </c>
      <c r="E59" s="1">
        <v>1</v>
      </c>
      <c r="F59" s="3" t="s">
        <v>216</v>
      </c>
      <c r="G59" s="1">
        <v>84</v>
      </c>
      <c r="H59" s="1">
        <v>88</v>
      </c>
      <c r="I59" s="1">
        <v>82</v>
      </c>
      <c r="J59" s="1">
        <v>85</v>
      </c>
      <c r="K59" s="1">
        <v>87</v>
      </c>
      <c r="L59" s="1">
        <f t="shared" si="0"/>
        <v>426</v>
      </c>
      <c r="M59" s="1">
        <f t="shared" si="1"/>
        <v>85.2</v>
      </c>
    </row>
    <row r="60" spans="1:13" x14ac:dyDescent="0.3">
      <c r="A60" s="1">
        <v>59</v>
      </c>
      <c r="B60" s="5" t="s">
        <v>126</v>
      </c>
      <c r="C60" s="5" t="s">
        <v>127</v>
      </c>
      <c r="D60" s="5" t="s">
        <v>217</v>
      </c>
      <c r="E60" s="1">
        <v>1</v>
      </c>
      <c r="F60" s="3" t="s">
        <v>216</v>
      </c>
      <c r="G60" s="1">
        <v>79</v>
      </c>
      <c r="H60" s="1">
        <v>76</v>
      </c>
      <c r="I60" s="1">
        <v>81</v>
      </c>
      <c r="J60" s="1">
        <v>77</v>
      </c>
      <c r="K60" s="1">
        <v>83</v>
      </c>
      <c r="L60" s="1">
        <f t="shared" si="0"/>
        <v>396</v>
      </c>
      <c r="M60" s="1">
        <f t="shared" si="1"/>
        <v>79.2</v>
      </c>
    </row>
    <row r="61" spans="1:13" x14ac:dyDescent="0.3">
      <c r="A61" s="1">
        <v>60</v>
      </c>
      <c r="B61" s="5" t="s">
        <v>128</v>
      </c>
      <c r="C61" s="5" t="s">
        <v>129</v>
      </c>
      <c r="D61" s="5" t="s">
        <v>217</v>
      </c>
      <c r="E61" s="1">
        <v>1</v>
      </c>
      <c r="F61" s="3" t="s">
        <v>216</v>
      </c>
      <c r="G61" s="1">
        <v>93</v>
      </c>
      <c r="H61" s="1">
        <v>91</v>
      </c>
      <c r="I61" s="1">
        <v>96</v>
      </c>
      <c r="J61" s="1">
        <v>92</v>
      </c>
      <c r="K61" s="1">
        <v>94</v>
      </c>
      <c r="L61" s="1">
        <f t="shared" si="0"/>
        <v>466</v>
      </c>
      <c r="M61" s="1">
        <f t="shared" si="1"/>
        <v>93.2</v>
      </c>
    </row>
    <row r="62" spans="1:13" x14ac:dyDescent="0.3">
      <c r="A62" s="1">
        <v>61</v>
      </c>
      <c r="B62" s="5" t="s">
        <v>130</v>
      </c>
      <c r="C62" s="5" t="s">
        <v>131</v>
      </c>
      <c r="D62" s="5" t="s">
        <v>218</v>
      </c>
      <c r="E62" s="1">
        <v>1</v>
      </c>
      <c r="F62" s="3" t="s">
        <v>216</v>
      </c>
      <c r="G62" s="1">
        <v>72</v>
      </c>
      <c r="H62" s="1">
        <v>78</v>
      </c>
      <c r="I62" s="1">
        <v>75</v>
      </c>
      <c r="J62" s="1">
        <v>71</v>
      </c>
      <c r="K62" s="1">
        <v>80</v>
      </c>
      <c r="L62" s="1">
        <f t="shared" si="0"/>
        <v>376</v>
      </c>
      <c r="M62" s="1">
        <f t="shared" si="1"/>
        <v>75.2</v>
      </c>
    </row>
    <row r="63" spans="1:13" x14ac:dyDescent="0.3">
      <c r="A63" s="1">
        <v>62</v>
      </c>
      <c r="B63" s="5" t="s">
        <v>132</v>
      </c>
      <c r="C63" s="5" t="s">
        <v>133</v>
      </c>
      <c r="D63" s="5" t="s">
        <v>218</v>
      </c>
      <c r="E63" s="1">
        <v>1</v>
      </c>
      <c r="F63" s="3" t="s">
        <v>216</v>
      </c>
      <c r="G63" s="1">
        <v>88</v>
      </c>
      <c r="H63" s="1">
        <v>86</v>
      </c>
      <c r="I63" s="1">
        <v>90</v>
      </c>
      <c r="J63" s="1">
        <v>89</v>
      </c>
      <c r="K63" s="1">
        <v>92</v>
      </c>
      <c r="L63" s="1">
        <f t="shared" si="0"/>
        <v>445</v>
      </c>
      <c r="M63" s="1">
        <f t="shared" si="1"/>
        <v>89</v>
      </c>
    </row>
    <row r="64" spans="1:13" x14ac:dyDescent="0.3">
      <c r="A64" s="1">
        <v>63</v>
      </c>
      <c r="B64" s="5" t="s">
        <v>134</v>
      </c>
      <c r="C64" s="5" t="s">
        <v>135</v>
      </c>
      <c r="D64" s="5" t="s">
        <v>218</v>
      </c>
      <c r="E64" s="1">
        <v>1</v>
      </c>
      <c r="F64" s="3" t="s">
        <v>216</v>
      </c>
      <c r="G64" s="1">
        <v>80</v>
      </c>
      <c r="H64" s="1">
        <v>84</v>
      </c>
      <c r="I64" s="1">
        <v>78</v>
      </c>
      <c r="J64" s="1">
        <v>82</v>
      </c>
      <c r="K64" s="1">
        <v>85</v>
      </c>
      <c r="L64" s="1">
        <f t="shared" si="0"/>
        <v>409</v>
      </c>
      <c r="M64" s="1">
        <f t="shared" si="1"/>
        <v>81.8</v>
      </c>
    </row>
    <row r="65" spans="1:13" x14ac:dyDescent="0.3">
      <c r="A65" s="1">
        <v>64</v>
      </c>
      <c r="B65" s="5" t="s">
        <v>136</v>
      </c>
      <c r="C65" s="5" t="s">
        <v>137</v>
      </c>
      <c r="D65" s="5" t="s">
        <v>218</v>
      </c>
      <c r="E65" s="1">
        <v>1</v>
      </c>
      <c r="F65" s="3" t="s">
        <v>216</v>
      </c>
      <c r="G65" s="1">
        <v>74</v>
      </c>
      <c r="H65" s="1">
        <v>71</v>
      </c>
      <c r="I65" s="1">
        <v>79</v>
      </c>
      <c r="J65" s="1">
        <v>76</v>
      </c>
      <c r="K65" s="1">
        <v>73</v>
      </c>
      <c r="L65" s="1">
        <f t="shared" si="0"/>
        <v>373</v>
      </c>
      <c r="M65" s="1">
        <f t="shared" si="1"/>
        <v>74.599999999999994</v>
      </c>
    </row>
    <row r="66" spans="1:13" x14ac:dyDescent="0.3">
      <c r="A66" s="1">
        <v>65</v>
      </c>
      <c r="B66" s="5" t="s">
        <v>138</v>
      </c>
      <c r="C66" s="5" t="s">
        <v>139</v>
      </c>
      <c r="D66" s="5" t="s">
        <v>218</v>
      </c>
      <c r="E66" s="1">
        <v>1</v>
      </c>
      <c r="F66" s="3" t="s">
        <v>216</v>
      </c>
      <c r="G66" s="1">
        <v>91</v>
      </c>
      <c r="H66" s="1">
        <v>95</v>
      </c>
      <c r="I66" s="1">
        <v>90</v>
      </c>
      <c r="J66" s="1">
        <v>93</v>
      </c>
      <c r="K66" s="1">
        <v>89</v>
      </c>
      <c r="L66" s="1">
        <f t="shared" si="0"/>
        <v>458</v>
      </c>
      <c r="M66" s="1">
        <f t="shared" si="1"/>
        <v>91.6</v>
      </c>
    </row>
    <row r="67" spans="1:13" ht="28.8" x14ac:dyDescent="0.3">
      <c r="A67" s="1">
        <v>66</v>
      </c>
      <c r="B67" s="5" t="s">
        <v>140</v>
      </c>
      <c r="C67" s="5" t="s">
        <v>141</v>
      </c>
      <c r="D67" s="5" t="s">
        <v>219</v>
      </c>
      <c r="E67" s="1">
        <v>1</v>
      </c>
      <c r="F67" s="3" t="s">
        <v>216</v>
      </c>
      <c r="G67" s="1">
        <v>83</v>
      </c>
      <c r="H67" s="1">
        <v>80</v>
      </c>
      <c r="I67" s="1">
        <v>85</v>
      </c>
      <c r="J67" s="1">
        <v>81</v>
      </c>
      <c r="K67" s="1">
        <v>87</v>
      </c>
      <c r="L67" s="1">
        <f t="shared" ref="L67:L101" si="2">SUM(G67:K67)</f>
        <v>416</v>
      </c>
      <c r="M67" s="1">
        <f t="shared" ref="M67:M101" si="3">AVERAGE(G67:K67)</f>
        <v>83.2</v>
      </c>
    </row>
    <row r="68" spans="1:13" x14ac:dyDescent="0.3">
      <c r="A68" s="1">
        <v>67</v>
      </c>
      <c r="B68" s="5" t="s">
        <v>142</v>
      </c>
      <c r="C68" s="5" t="s">
        <v>143</v>
      </c>
      <c r="D68" s="5" t="s">
        <v>219</v>
      </c>
      <c r="E68" s="1">
        <v>1</v>
      </c>
      <c r="F68" s="3" t="s">
        <v>216</v>
      </c>
      <c r="G68" s="1">
        <v>77</v>
      </c>
      <c r="H68" s="1">
        <v>73</v>
      </c>
      <c r="I68" s="1">
        <v>76</v>
      </c>
      <c r="J68" s="1">
        <v>79</v>
      </c>
      <c r="K68" s="1">
        <v>81</v>
      </c>
      <c r="L68" s="1">
        <f t="shared" si="2"/>
        <v>386</v>
      </c>
      <c r="M68" s="1">
        <f t="shared" si="3"/>
        <v>77.2</v>
      </c>
    </row>
    <row r="69" spans="1:13" x14ac:dyDescent="0.3">
      <c r="A69" s="1">
        <v>68</v>
      </c>
      <c r="B69" s="5" t="s">
        <v>144</v>
      </c>
      <c r="C69" s="5" t="s">
        <v>145</v>
      </c>
      <c r="D69" s="5" t="s">
        <v>219</v>
      </c>
      <c r="E69" s="1">
        <v>1</v>
      </c>
      <c r="F69" s="3" t="s">
        <v>216</v>
      </c>
      <c r="G69" s="1">
        <v>86</v>
      </c>
      <c r="H69" s="1">
        <v>89</v>
      </c>
      <c r="I69" s="1">
        <v>84</v>
      </c>
      <c r="J69" s="1">
        <v>88</v>
      </c>
      <c r="K69" s="1">
        <v>90</v>
      </c>
      <c r="L69" s="1">
        <f t="shared" si="2"/>
        <v>437</v>
      </c>
      <c r="M69" s="1">
        <f t="shared" si="3"/>
        <v>87.4</v>
      </c>
    </row>
    <row r="70" spans="1:13" x14ac:dyDescent="0.3">
      <c r="A70" s="1">
        <v>69</v>
      </c>
      <c r="B70" s="5" t="s">
        <v>146</v>
      </c>
      <c r="C70" s="5" t="s">
        <v>147</v>
      </c>
      <c r="D70" s="5" t="s">
        <v>219</v>
      </c>
      <c r="E70" s="1">
        <v>1</v>
      </c>
      <c r="F70" s="3" t="s">
        <v>216</v>
      </c>
      <c r="G70" s="1">
        <v>95</v>
      </c>
      <c r="H70" s="1">
        <v>92</v>
      </c>
      <c r="I70" s="1">
        <v>94</v>
      </c>
      <c r="J70" s="1">
        <v>96</v>
      </c>
      <c r="K70" s="1">
        <v>91</v>
      </c>
      <c r="L70" s="1">
        <f t="shared" si="2"/>
        <v>468</v>
      </c>
      <c r="M70" s="1">
        <f t="shared" si="3"/>
        <v>93.6</v>
      </c>
    </row>
    <row r="71" spans="1:13" x14ac:dyDescent="0.3">
      <c r="A71" s="1">
        <v>70</v>
      </c>
      <c r="B71" s="5" t="s">
        <v>148</v>
      </c>
      <c r="C71" s="5" t="s">
        <v>149</v>
      </c>
      <c r="D71" s="5" t="s">
        <v>219</v>
      </c>
      <c r="E71" s="1">
        <v>1</v>
      </c>
      <c r="F71" s="3" t="s">
        <v>216</v>
      </c>
      <c r="G71" s="1">
        <v>69</v>
      </c>
      <c r="H71" s="1">
        <v>76</v>
      </c>
      <c r="I71" s="1">
        <v>72</v>
      </c>
      <c r="J71" s="1">
        <v>75</v>
      </c>
      <c r="K71" s="1">
        <v>70</v>
      </c>
      <c r="L71" s="1">
        <f t="shared" si="2"/>
        <v>362</v>
      </c>
      <c r="M71" s="1">
        <f t="shared" si="3"/>
        <v>72.400000000000006</v>
      </c>
    </row>
    <row r="72" spans="1:13" ht="28.8" x14ac:dyDescent="0.3">
      <c r="A72" s="1">
        <v>71</v>
      </c>
      <c r="B72" s="5" t="s">
        <v>150</v>
      </c>
      <c r="C72" s="5" t="s">
        <v>151</v>
      </c>
      <c r="D72" s="5" t="s">
        <v>220</v>
      </c>
      <c r="E72" s="1">
        <v>1</v>
      </c>
      <c r="F72" s="3" t="s">
        <v>216</v>
      </c>
      <c r="G72" s="1">
        <v>82</v>
      </c>
      <c r="H72" s="1">
        <v>79</v>
      </c>
      <c r="I72" s="1">
        <v>85</v>
      </c>
      <c r="J72" s="1">
        <v>80</v>
      </c>
      <c r="K72" s="1">
        <v>84</v>
      </c>
      <c r="L72" s="1">
        <f t="shared" si="2"/>
        <v>410</v>
      </c>
      <c r="M72" s="1">
        <f t="shared" si="3"/>
        <v>82</v>
      </c>
    </row>
    <row r="73" spans="1:13" ht="28.8" x14ac:dyDescent="0.3">
      <c r="A73" s="1">
        <v>72</v>
      </c>
      <c r="B73" s="5" t="s">
        <v>152</v>
      </c>
      <c r="C73" s="5" t="s">
        <v>153</v>
      </c>
      <c r="D73" s="5" t="s">
        <v>220</v>
      </c>
      <c r="E73" s="1">
        <v>1</v>
      </c>
      <c r="F73" s="3" t="s">
        <v>216</v>
      </c>
      <c r="G73" s="1">
        <v>89</v>
      </c>
      <c r="H73" s="1">
        <v>87</v>
      </c>
      <c r="I73" s="1">
        <v>92</v>
      </c>
      <c r="J73" s="1">
        <v>90</v>
      </c>
      <c r="K73" s="1">
        <v>88</v>
      </c>
      <c r="L73" s="1">
        <f t="shared" si="2"/>
        <v>446</v>
      </c>
      <c r="M73" s="1">
        <f t="shared" si="3"/>
        <v>89.2</v>
      </c>
    </row>
    <row r="74" spans="1:13" ht="28.8" x14ac:dyDescent="0.3">
      <c r="A74" s="1">
        <v>73</v>
      </c>
      <c r="B74" s="5" t="s">
        <v>154</v>
      </c>
      <c r="C74" s="5" t="s">
        <v>155</v>
      </c>
      <c r="D74" s="5" t="s">
        <v>220</v>
      </c>
      <c r="E74" s="1">
        <v>1</v>
      </c>
      <c r="F74" s="3" t="s">
        <v>216</v>
      </c>
      <c r="G74" s="1">
        <v>93</v>
      </c>
      <c r="H74" s="1">
        <v>90</v>
      </c>
      <c r="I74" s="1">
        <v>95</v>
      </c>
      <c r="J74" s="1">
        <v>92</v>
      </c>
      <c r="K74" s="1">
        <v>94</v>
      </c>
      <c r="L74" s="1">
        <f t="shared" si="2"/>
        <v>464</v>
      </c>
      <c r="M74" s="1">
        <f t="shared" si="3"/>
        <v>92.8</v>
      </c>
    </row>
    <row r="75" spans="1:13" ht="28.8" x14ac:dyDescent="0.3">
      <c r="A75" s="1">
        <v>74</v>
      </c>
      <c r="B75" s="5" t="s">
        <v>156</v>
      </c>
      <c r="C75" s="5" t="s">
        <v>157</v>
      </c>
      <c r="D75" s="5" t="s">
        <v>220</v>
      </c>
      <c r="E75" s="1">
        <v>1</v>
      </c>
      <c r="F75" s="3" t="s">
        <v>216</v>
      </c>
      <c r="G75" s="1">
        <v>78</v>
      </c>
      <c r="H75" s="1">
        <v>82</v>
      </c>
      <c r="I75" s="1">
        <v>80</v>
      </c>
      <c r="J75" s="1">
        <v>76</v>
      </c>
      <c r="K75" s="1">
        <v>85</v>
      </c>
      <c r="L75" s="1">
        <f t="shared" si="2"/>
        <v>401</v>
      </c>
      <c r="M75" s="1">
        <f t="shared" si="3"/>
        <v>80.2</v>
      </c>
    </row>
    <row r="76" spans="1:13" x14ac:dyDescent="0.3">
      <c r="A76" s="1">
        <v>75</v>
      </c>
      <c r="B76" s="5" t="s">
        <v>158</v>
      </c>
      <c r="C76" s="5" t="s">
        <v>159</v>
      </c>
      <c r="D76" s="5" t="s">
        <v>213</v>
      </c>
      <c r="E76" s="1">
        <v>1</v>
      </c>
      <c r="F76" s="3" t="s">
        <v>214</v>
      </c>
      <c r="G76" s="1">
        <v>85</v>
      </c>
      <c r="H76" s="1">
        <v>88</v>
      </c>
      <c r="I76" s="1">
        <v>83</v>
      </c>
      <c r="J76" s="1">
        <v>86</v>
      </c>
      <c r="K76" s="1">
        <v>90</v>
      </c>
      <c r="L76" s="1">
        <f t="shared" si="2"/>
        <v>432</v>
      </c>
      <c r="M76" s="1">
        <f t="shared" si="3"/>
        <v>86.4</v>
      </c>
    </row>
    <row r="77" spans="1:13" x14ac:dyDescent="0.3">
      <c r="A77" s="1">
        <v>76</v>
      </c>
      <c r="B77" s="5" t="s">
        <v>160</v>
      </c>
      <c r="C77" s="5" t="s">
        <v>161</v>
      </c>
      <c r="D77" s="5" t="s">
        <v>213</v>
      </c>
      <c r="E77" s="1">
        <v>1</v>
      </c>
      <c r="F77" s="3" t="s">
        <v>214</v>
      </c>
      <c r="G77" s="1">
        <v>90</v>
      </c>
      <c r="H77" s="1">
        <v>91</v>
      </c>
      <c r="I77" s="1">
        <v>87</v>
      </c>
      <c r="J77" s="1">
        <v>94</v>
      </c>
      <c r="K77" s="1">
        <v>89</v>
      </c>
      <c r="L77" s="1">
        <f t="shared" si="2"/>
        <v>451</v>
      </c>
      <c r="M77" s="1">
        <f t="shared" si="3"/>
        <v>90.2</v>
      </c>
    </row>
    <row r="78" spans="1:13" x14ac:dyDescent="0.3">
      <c r="A78" s="1">
        <v>77</v>
      </c>
      <c r="B78" s="5" t="s">
        <v>162</v>
      </c>
      <c r="C78" s="5" t="s">
        <v>163</v>
      </c>
      <c r="D78" s="5" t="s">
        <v>215</v>
      </c>
      <c r="E78" s="1">
        <v>1</v>
      </c>
      <c r="F78" s="3" t="s">
        <v>214</v>
      </c>
      <c r="G78" s="1">
        <v>73</v>
      </c>
      <c r="H78" s="1">
        <v>79</v>
      </c>
      <c r="I78" s="1">
        <v>71</v>
      </c>
      <c r="J78" s="1">
        <v>77</v>
      </c>
      <c r="K78" s="1">
        <v>75</v>
      </c>
      <c r="L78" s="1">
        <f t="shared" si="2"/>
        <v>375</v>
      </c>
      <c r="M78" s="1">
        <f t="shared" si="3"/>
        <v>75</v>
      </c>
    </row>
    <row r="79" spans="1:13" x14ac:dyDescent="0.3">
      <c r="A79" s="1">
        <v>78</v>
      </c>
      <c r="B79" s="5" t="s">
        <v>164</v>
      </c>
      <c r="C79" s="5" t="s">
        <v>165</v>
      </c>
      <c r="D79" s="5" t="s">
        <v>215</v>
      </c>
      <c r="E79" s="1">
        <v>1</v>
      </c>
      <c r="F79" s="3" t="s">
        <v>214</v>
      </c>
      <c r="G79" s="1">
        <v>87</v>
      </c>
      <c r="H79" s="1">
        <v>84</v>
      </c>
      <c r="I79" s="1">
        <v>91</v>
      </c>
      <c r="J79" s="1">
        <v>88</v>
      </c>
      <c r="K79" s="1">
        <v>86</v>
      </c>
      <c r="L79" s="1">
        <f t="shared" si="2"/>
        <v>436</v>
      </c>
      <c r="M79" s="1">
        <f t="shared" si="3"/>
        <v>87.2</v>
      </c>
    </row>
    <row r="80" spans="1:13" x14ac:dyDescent="0.3">
      <c r="A80" s="1">
        <v>79</v>
      </c>
      <c r="B80" s="5" t="s">
        <v>166</v>
      </c>
      <c r="C80" s="5" t="s">
        <v>167</v>
      </c>
      <c r="D80" s="5" t="s">
        <v>217</v>
      </c>
      <c r="E80" s="1">
        <v>1</v>
      </c>
      <c r="F80" s="3" t="s">
        <v>214</v>
      </c>
      <c r="G80" s="1">
        <v>81</v>
      </c>
      <c r="H80" s="1">
        <v>77</v>
      </c>
      <c r="I80" s="1">
        <v>84</v>
      </c>
      <c r="J80" s="1">
        <v>79</v>
      </c>
      <c r="K80" s="1">
        <v>82</v>
      </c>
      <c r="L80" s="1">
        <f t="shared" si="2"/>
        <v>403</v>
      </c>
      <c r="M80" s="1">
        <f t="shared" si="3"/>
        <v>80.599999999999994</v>
      </c>
    </row>
    <row r="81" spans="1:13" x14ac:dyDescent="0.3">
      <c r="A81" s="1">
        <v>80</v>
      </c>
      <c r="B81" s="5" t="s">
        <v>168</v>
      </c>
      <c r="C81" s="5" t="s">
        <v>169</v>
      </c>
      <c r="D81" s="5" t="s">
        <v>217</v>
      </c>
      <c r="E81" s="1">
        <v>1</v>
      </c>
      <c r="F81" s="3" t="s">
        <v>214</v>
      </c>
      <c r="G81" s="1">
        <v>68</v>
      </c>
      <c r="H81" s="1">
        <v>74</v>
      </c>
      <c r="I81" s="1">
        <v>70</v>
      </c>
      <c r="J81" s="1">
        <v>72</v>
      </c>
      <c r="K81" s="1">
        <v>76</v>
      </c>
      <c r="L81" s="1">
        <f t="shared" si="2"/>
        <v>360</v>
      </c>
      <c r="M81" s="1">
        <f t="shared" si="3"/>
        <v>72</v>
      </c>
    </row>
    <row r="82" spans="1:13" x14ac:dyDescent="0.3">
      <c r="A82" s="1">
        <v>81</v>
      </c>
      <c r="B82" s="5" t="s">
        <v>170</v>
      </c>
      <c r="C82" s="5" t="s">
        <v>171</v>
      </c>
      <c r="D82" s="5" t="s">
        <v>218</v>
      </c>
      <c r="E82" s="1">
        <v>1</v>
      </c>
      <c r="F82" s="3" t="s">
        <v>214</v>
      </c>
      <c r="G82" s="1">
        <v>92</v>
      </c>
      <c r="H82" s="1">
        <v>89</v>
      </c>
      <c r="I82" s="1">
        <v>93</v>
      </c>
      <c r="J82" s="1">
        <v>91</v>
      </c>
      <c r="K82" s="1">
        <v>95</v>
      </c>
      <c r="L82" s="1">
        <f t="shared" si="2"/>
        <v>460</v>
      </c>
      <c r="M82" s="1">
        <f t="shared" si="3"/>
        <v>92</v>
      </c>
    </row>
    <row r="83" spans="1:13" x14ac:dyDescent="0.3">
      <c r="A83" s="1">
        <v>82</v>
      </c>
      <c r="B83" s="5" t="s">
        <v>172</v>
      </c>
      <c r="C83" s="5" t="s">
        <v>173</v>
      </c>
      <c r="D83" s="5" t="s">
        <v>218</v>
      </c>
      <c r="E83" s="1">
        <v>1</v>
      </c>
      <c r="F83" s="3" t="s">
        <v>214</v>
      </c>
      <c r="G83" s="1">
        <v>76</v>
      </c>
      <c r="H83" s="1">
        <v>80</v>
      </c>
      <c r="I83" s="1">
        <v>78</v>
      </c>
      <c r="J83" s="1">
        <v>83</v>
      </c>
      <c r="K83" s="1">
        <v>81</v>
      </c>
      <c r="L83" s="1">
        <f t="shared" si="2"/>
        <v>398</v>
      </c>
      <c r="M83" s="1">
        <f t="shared" si="3"/>
        <v>79.599999999999994</v>
      </c>
    </row>
    <row r="84" spans="1:13" x14ac:dyDescent="0.3">
      <c r="A84" s="1">
        <v>83</v>
      </c>
      <c r="B84" s="5" t="s">
        <v>174</v>
      </c>
      <c r="C84" s="5" t="s">
        <v>175</v>
      </c>
      <c r="D84" s="5" t="s">
        <v>219</v>
      </c>
      <c r="E84" s="1">
        <v>1</v>
      </c>
      <c r="F84" s="3" t="s">
        <v>214</v>
      </c>
      <c r="G84" s="1">
        <v>84</v>
      </c>
      <c r="H84" s="1">
        <v>86</v>
      </c>
      <c r="I84" s="1">
        <v>82</v>
      </c>
      <c r="J84" s="1">
        <v>87</v>
      </c>
      <c r="K84" s="1">
        <v>89</v>
      </c>
      <c r="L84" s="1">
        <f t="shared" si="2"/>
        <v>428</v>
      </c>
      <c r="M84" s="1">
        <f t="shared" si="3"/>
        <v>85.6</v>
      </c>
    </row>
    <row r="85" spans="1:13" ht="28.8" x14ac:dyDescent="0.3">
      <c r="A85" s="1">
        <v>84</v>
      </c>
      <c r="B85" s="5" t="s">
        <v>176</v>
      </c>
      <c r="C85" s="5" t="s">
        <v>177</v>
      </c>
      <c r="D85" s="5" t="s">
        <v>219</v>
      </c>
      <c r="E85" s="1">
        <v>1</v>
      </c>
      <c r="F85" s="3" t="s">
        <v>214</v>
      </c>
      <c r="G85" s="1">
        <v>94</v>
      </c>
      <c r="H85" s="1">
        <v>92</v>
      </c>
      <c r="I85" s="1">
        <v>90</v>
      </c>
      <c r="J85" s="1">
        <v>95</v>
      </c>
      <c r="K85" s="1">
        <v>93</v>
      </c>
      <c r="L85" s="1">
        <f t="shared" si="2"/>
        <v>464</v>
      </c>
      <c r="M85" s="1">
        <f t="shared" si="3"/>
        <v>92.8</v>
      </c>
    </row>
    <row r="86" spans="1:13" ht="28.8" x14ac:dyDescent="0.3">
      <c r="A86" s="1">
        <v>85</v>
      </c>
      <c r="B86" s="5" t="s">
        <v>178</v>
      </c>
      <c r="C86" s="5" t="s">
        <v>179</v>
      </c>
      <c r="D86" s="5" t="s">
        <v>219</v>
      </c>
      <c r="E86" s="1">
        <v>1</v>
      </c>
      <c r="F86" s="3" t="s">
        <v>214</v>
      </c>
      <c r="G86" s="1">
        <v>89</v>
      </c>
      <c r="H86" s="1">
        <v>85</v>
      </c>
      <c r="I86" s="1">
        <v>88</v>
      </c>
      <c r="J86" s="1">
        <v>91</v>
      </c>
      <c r="K86" s="1">
        <v>90</v>
      </c>
      <c r="L86" s="1">
        <f t="shared" si="2"/>
        <v>443</v>
      </c>
      <c r="M86" s="1">
        <f t="shared" si="3"/>
        <v>88.6</v>
      </c>
    </row>
    <row r="87" spans="1:13" ht="28.8" x14ac:dyDescent="0.3">
      <c r="A87" s="1">
        <v>86</v>
      </c>
      <c r="B87" s="5" t="s">
        <v>180</v>
      </c>
      <c r="C87" s="5" t="s">
        <v>181</v>
      </c>
      <c r="D87" s="5" t="s">
        <v>220</v>
      </c>
      <c r="E87" s="1">
        <v>1</v>
      </c>
      <c r="F87" s="3" t="s">
        <v>214</v>
      </c>
      <c r="G87" s="1">
        <v>71</v>
      </c>
      <c r="H87" s="1">
        <v>75</v>
      </c>
      <c r="I87" s="1">
        <v>73</v>
      </c>
      <c r="J87" s="1">
        <v>78</v>
      </c>
      <c r="K87" s="1">
        <v>76</v>
      </c>
      <c r="L87" s="1">
        <f t="shared" si="2"/>
        <v>373</v>
      </c>
      <c r="M87" s="1">
        <f t="shared" si="3"/>
        <v>74.599999999999994</v>
      </c>
    </row>
    <row r="88" spans="1:13" ht="28.8" x14ac:dyDescent="0.3">
      <c r="A88" s="1">
        <v>87</v>
      </c>
      <c r="B88" s="5" t="s">
        <v>182</v>
      </c>
      <c r="C88" s="5" t="s">
        <v>183</v>
      </c>
      <c r="D88" s="5" t="s">
        <v>220</v>
      </c>
      <c r="E88" s="1">
        <v>1</v>
      </c>
      <c r="F88" s="3" t="s">
        <v>214</v>
      </c>
      <c r="G88" s="1">
        <v>86</v>
      </c>
      <c r="H88" s="1">
        <v>90</v>
      </c>
      <c r="I88" s="1">
        <v>85</v>
      </c>
      <c r="J88" s="1">
        <v>87</v>
      </c>
      <c r="K88" s="1">
        <v>92</v>
      </c>
      <c r="L88" s="1">
        <f t="shared" si="2"/>
        <v>440</v>
      </c>
      <c r="M88" s="1">
        <f t="shared" si="3"/>
        <v>88</v>
      </c>
    </row>
    <row r="89" spans="1:13" ht="28.8" x14ac:dyDescent="0.3">
      <c r="A89" s="1">
        <v>88</v>
      </c>
      <c r="B89" s="5" t="s">
        <v>184</v>
      </c>
      <c r="C89" s="5" t="s">
        <v>185</v>
      </c>
      <c r="D89" s="5" t="s">
        <v>220</v>
      </c>
      <c r="E89" s="1">
        <v>1</v>
      </c>
      <c r="F89" s="3" t="s">
        <v>214</v>
      </c>
      <c r="G89" s="1">
        <v>80</v>
      </c>
      <c r="H89" s="1">
        <v>78</v>
      </c>
      <c r="I89" s="1">
        <v>82</v>
      </c>
      <c r="J89" s="1">
        <v>84</v>
      </c>
      <c r="K89" s="1">
        <v>79</v>
      </c>
      <c r="L89" s="1">
        <f t="shared" si="2"/>
        <v>403</v>
      </c>
      <c r="M89" s="1">
        <f t="shared" si="3"/>
        <v>80.599999999999994</v>
      </c>
    </row>
    <row r="90" spans="1:13" x14ac:dyDescent="0.3">
      <c r="A90" s="1">
        <v>89</v>
      </c>
      <c r="B90" s="5" t="s">
        <v>186</v>
      </c>
      <c r="C90" s="5" t="s">
        <v>187</v>
      </c>
      <c r="D90" s="5" t="s">
        <v>213</v>
      </c>
      <c r="E90" s="1">
        <v>1</v>
      </c>
      <c r="F90" s="3" t="s">
        <v>214</v>
      </c>
      <c r="G90" s="1">
        <v>91</v>
      </c>
      <c r="H90" s="1">
        <v>94</v>
      </c>
      <c r="I90" s="1">
        <v>93</v>
      </c>
      <c r="J90" s="1">
        <v>89</v>
      </c>
      <c r="K90" s="1">
        <v>95</v>
      </c>
      <c r="L90" s="1">
        <f t="shared" si="2"/>
        <v>462</v>
      </c>
      <c r="M90" s="1">
        <f t="shared" si="3"/>
        <v>92.4</v>
      </c>
    </row>
    <row r="91" spans="1:13" x14ac:dyDescent="0.3">
      <c r="A91" s="1">
        <v>90</v>
      </c>
      <c r="B91" s="5" t="s">
        <v>188</v>
      </c>
      <c r="C91" s="5" t="s">
        <v>189</v>
      </c>
      <c r="D91" s="5" t="s">
        <v>213</v>
      </c>
      <c r="E91" s="1">
        <v>1</v>
      </c>
      <c r="F91" s="3" t="s">
        <v>214</v>
      </c>
      <c r="G91" s="1">
        <v>83</v>
      </c>
      <c r="H91" s="1">
        <v>87</v>
      </c>
      <c r="I91" s="1">
        <v>85</v>
      </c>
      <c r="J91" s="1">
        <v>82</v>
      </c>
      <c r="K91" s="1">
        <v>88</v>
      </c>
      <c r="L91" s="1">
        <f t="shared" si="2"/>
        <v>425</v>
      </c>
      <c r="M91" s="1">
        <f t="shared" si="3"/>
        <v>85</v>
      </c>
    </row>
    <row r="92" spans="1:13" x14ac:dyDescent="0.3">
      <c r="A92" s="1">
        <v>91</v>
      </c>
      <c r="B92" s="5" t="s">
        <v>190</v>
      </c>
      <c r="C92" s="5" t="s">
        <v>191</v>
      </c>
      <c r="D92" s="5" t="s">
        <v>215</v>
      </c>
      <c r="E92" s="1">
        <v>1</v>
      </c>
      <c r="F92" s="3" t="s">
        <v>214</v>
      </c>
      <c r="G92" s="1">
        <v>75</v>
      </c>
      <c r="H92" s="1">
        <v>72</v>
      </c>
      <c r="I92" s="1">
        <v>78</v>
      </c>
      <c r="J92" s="1">
        <v>80</v>
      </c>
      <c r="K92" s="1">
        <v>74</v>
      </c>
      <c r="L92" s="1">
        <f t="shared" si="2"/>
        <v>379</v>
      </c>
      <c r="M92" s="1">
        <f t="shared" si="3"/>
        <v>75.8</v>
      </c>
    </row>
    <row r="93" spans="1:13" x14ac:dyDescent="0.3">
      <c r="A93" s="1">
        <v>92</v>
      </c>
      <c r="B93" s="5" t="s">
        <v>192</v>
      </c>
      <c r="C93" s="5" t="s">
        <v>193</v>
      </c>
      <c r="D93" s="5" t="s">
        <v>215</v>
      </c>
      <c r="E93" s="1">
        <v>1</v>
      </c>
      <c r="F93" s="3" t="s">
        <v>214</v>
      </c>
      <c r="G93" s="1">
        <v>88</v>
      </c>
      <c r="H93" s="1">
        <v>90</v>
      </c>
      <c r="I93" s="1">
        <v>92</v>
      </c>
      <c r="J93" s="1">
        <v>86</v>
      </c>
      <c r="K93" s="1">
        <v>91</v>
      </c>
      <c r="L93" s="1">
        <f t="shared" si="2"/>
        <v>447</v>
      </c>
      <c r="M93" s="1">
        <f t="shared" si="3"/>
        <v>89.4</v>
      </c>
    </row>
    <row r="94" spans="1:13" ht="28.8" x14ac:dyDescent="0.3">
      <c r="A94" s="1">
        <v>93</v>
      </c>
      <c r="B94" s="5" t="s">
        <v>194</v>
      </c>
      <c r="C94" s="5" t="s">
        <v>195</v>
      </c>
      <c r="D94" s="5" t="s">
        <v>217</v>
      </c>
      <c r="E94" s="1">
        <v>1</v>
      </c>
      <c r="F94" s="3" t="s">
        <v>214</v>
      </c>
      <c r="G94" s="1">
        <v>79</v>
      </c>
      <c r="H94" s="1">
        <v>83</v>
      </c>
      <c r="I94" s="1">
        <v>77</v>
      </c>
      <c r="J94" s="1">
        <v>81</v>
      </c>
      <c r="K94" s="1">
        <v>80</v>
      </c>
      <c r="L94" s="1">
        <f t="shared" si="2"/>
        <v>400</v>
      </c>
      <c r="M94" s="1">
        <f t="shared" si="3"/>
        <v>80</v>
      </c>
    </row>
    <row r="95" spans="1:13" x14ac:dyDescent="0.3">
      <c r="A95" s="1">
        <v>94</v>
      </c>
      <c r="B95" s="5" t="s">
        <v>196</v>
      </c>
      <c r="C95" s="5" t="s">
        <v>197</v>
      </c>
      <c r="D95" s="5" t="s">
        <v>217</v>
      </c>
      <c r="E95" s="1">
        <v>1</v>
      </c>
      <c r="F95" s="3" t="s">
        <v>214</v>
      </c>
      <c r="G95" s="1">
        <v>93</v>
      </c>
      <c r="H95" s="1">
        <v>95</v>
      </c>
      <c r="I95" s="1">
        <v>90</v>
      </c>
      <c r="J95" s="1">
        <v>92</v>
      </c>
      <c r="K95" s="1">
        <v>94</v>
      </c>
      <c r="L95" s="1">
        <f t="shared" si="2"/>
        <v>464</v>
      </c>
      <c r="M95" s="1">
        <f t="shared" si="3"/>
        <v>92.8</v>
      </c>
    </row>
    <row r="96" spans="1:13" x14ac:dyDescent="0.3">
      <c r="A96" s="1">
        <v>95</v>
      </c>
      <c r="B96" s="5" t="s">
        <v>198</v>
      </c>
      <c r="C96" s="5" t="s">
        <v>199</v>
      </c>
      <c r="D96" s="5" t="s">
        <v>218</v>
      </c>
      <c r="E96" s="1">
        <v>1</v>
      </c>
      <c r="F96" s="3" t="s">
        <v>214</v>
      </c>
      <c r="G96" s="1">
        <v>70</v>
      </c>
      <c r="H96" s="1">
        <v>76</v>
      </c>
      <c r="I96" s="1">
        <v>74</v>
      </c>
      <c r="J96" s="1">
        <v>72</v>
      </c>
      <c r="K96" s="1">
        <v>78</v>
      </c>
      <c r="L96" s="1">
        <f t="shared" si="2"/>
        <v>370</v>
      </c>
      <c r="M96" s="1">
        <f t="shared" si="3"/>
        <v>74</v>
      </c>
    </row>
    <row r="97" spans="1:13" x14ac:dyDescent="0.3">
      <c r="A97" s="1">
        <v>96</v>
      </c>
      <c r="B97" s="5" t="s">
        <v>200</v>
      </c>
      <c r="C97" s="5" t="s">
        <v>201</v>
      </c>
      <c r="D97" s="5" t="s">
        <v>218</v>
      </c>
      <c r="E97" s="1">
        <v>1</v>
      </c>
      <c r="F97" s="3" t="s">
        <v>214</v>
      </c>
      <c r="G97" s="1">
        <v>85</v>
      </c>
      <c r="H97" s="1">
        <v>82</v>
      </c>
      <c r="I97" s="1">
        <v>87</v>
      </c>
      <c r="J97" s="1">
        <v>89</v>
      </c>
      <c r="K97" s="1">
        <v>84</v>
      </c>
      <c r="L97" s="1">
        <f t="shared" si="2"/>
        <v>427</v>
      </c>
      <c r="M97" s="1">
        <f t="shared" si="3"/>
        <v>85.4</v>
      </c>
    </row>
    <row r="98" spans="1:13" x14ac:dyDescent="0.3">
      <c r="A98" s="1">
        <v>97</v>
      </c>
      <c r="B98" s="5" t="s">
        <v>202</v>
      </c>
      <c r="C98" s="5" t="s">
        <v>203</v>
      </c>
      <c r="D98" s="5" t="s">
        <v>219</v>
      </c>
      <c r="E98" s="1">
        <v>1</v>
      </c>
      <c r="F98" s="3" t="s">
        <v>214</v>
      </c>
      <c r="G98" s="1">
        <v>90</v>
      </c>
      <c r="H98" s="1">
        <v>88</v>
      </c>
      <c r="I98" s="1">
        <v>91</v>
      </c>
      <c r="J98" s="1">
        <v>93</v>
      </c>
      <c r="K98" s="1">
        <v>89</v>
      </c>
      <c r="L98" s="1">
        <f t="shared" si="2"/>
        <v>451</v>
      </c>
      <c r="M98" s="1">
        <f t="shared" si="3"/>
        <v>90.2</v>
      </c>
    </row>
    <row r="99" spans="1:13" x14ac:dyDescent="0.3">
      <c r="A99" s="1">
        <v>98</v>
      </c>
      <c r="B99" s="5" t="s">
        <v>204</v>
      </c>
      <c r="C99" s="5" t="s">
        <v>205</v>
      </c>
      <c r="D99" s="5" t="s">
        <v>219</v>
      </c>
      <c r="E99" s="1">
        <v>1</v>
      </c>
      <c r="F99" s="3" t="s">
        <v>214</v>
      </c>
      <c r="G99" s="1">
        <v>77</v>
      </c>
      <c r="H99" s="1">
        <v>81</v>
      </c>
      <c r="I99" s="1">
        <v>79</v>
      </c>
      <c r="J99" s="1">
        <v>75</v>
      </c>
      <c r="K99" s="1">
        <v>83</v>
      </c>
      <c r="L99" s="1">
        <f t="shared" si="2"/>
        <v>395</v>
      </c>
      <c r="M99" s="1">
        <f t="shared" si="3"/>
        <v>79</v>
      </c>
    </row>
    <row r="100" spans="1:13" ht="28.8" x14ac:dyDescent="0.3">
      <c r="A100" s="1">
        <v>99</v>
      </c>
      <c r="B100" s="5" t="s">
        <v>206</v>
      </c>
      <c r="C100" s="5" t="s">
        <v>207</v>
      </c>
      <c r="D100" s="5" t="s">
        <v>220</v>
      </c>
      <c r="E100" s="1">
        <v>1</v>
      </c>
      <c r="F100" s="3" t="s">
        <v>214</v>
      </c>
      <c r="G100" s="1">
        <v>82</v>
      </c>
      <c r="H100" s="1">
        <v>85</v>
      </c>
      <c r="I100" s="1">
        <v>80</v>
      </c>
      <c r="J100" s="1">
        <v>84</v>
      </c>
      <c r="K100" s="1">
        <v>87</v>
      </c>
      <c r="L100" s="1">
        <f t="shared" si="2"/>
        <v>418</v>
      </c>
      <c r="M100" s="1">
        <f t="shared" si="3"/>
        <v>83.6</v>
      </c>
    </row>
    <row r="101" spans="1:13" ht="28.8" x14ac:dyDescent="0.3">
      <c r="A101" s="1">
        <v>100</v>
      </c>
      <c r="B101" s="5" t="s">
        <v>208</v>
      </c>
      <c r="C101" s="5" t="s">
        <v>209</v>
      </c>
      <c r="D101" s="5" t="s">
        <v>220</v>
      </c>
      <c r="E101" s="1">
        <v>1</v>
      </c>
      <c r="F101" s="3" t="s">
        <v>214</v>
      </c>
      <c r="G101" s="1">
        <v>95</v>
      </c>
      <c r="H101" s="1">
        <v>93</v>
      </c>
      <c r="I101" s="1">
        <v>96</v>
      </c>
      <c r="J101" s="1">
        <v>94</v>
      </c>
      <c r="K101" s="1">
        <v>92</v>
      </c>
      <c r="L101" s="1">
        <f t="shared" si="2"/>
        <v>470</v>
      </c>
      <c r="M101" s="1">
        <f t="shared" si="3"/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R.G</dc:creator>
  <cp:lastModifiedBy>KAILASH R.G</cp:lastModifiedBy>
  <dcterms:created xsi:type="dcterms:W3CDTF">2026-09-11T15:39:12Z</dcterms:created>
  <dcterms:modified xsi:type="dcterms:W3CDTF">2026-09-11T16:34:53Z</dcterms:modified>
</cp:coreProperties>
</file>